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donald/Desktop/Trading/My Trading Reports/"/>
    </mc:Choice>
  </mc:AlternateContent>
  <bookViews>
    <workbookView xWindow="0" yWindow="500" windowWidth="28800" windowHeight="16260" tabRatio="500" activeTab="6"/>
  </bookViews>
  <sheets>
    <sheet name="Week 1(03-07 Aug. 2026)" sheetId="1" r:id="rId1"/>
    <sheet name="Week 2(10-14 Aug. 26)" sheetId="3" r:id="rId2"/>
    <sheet name="Week 3 (17-21 Aug. 2026)" sheetId="4" r:id="rId3"/>
    <sheet name="Week 4(24-28 Aug. 2026)" sheetId="5" r:id="rId4"/>
    <sheet name="Week 1 31 Aug.- 4 Sept." sheetId="6" r:id="rId5"/>
    <sheet name="Week 2  7-11 Sept" sheetId="10" r:id="rId6"/>
    <sheet name="Week 4 21-25 Sept" sheetId="11" r:id="rId7"/>
    <sheet name="Profitability model" sheetId="9" r:id="rId8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" i="11" l="1"/>
  <c r="B5" i="11"/>
  <c r="C4" i="11"/>
  <c r="C5" i="11"/>
  <c r="D4" i="11"/>
  <c r="E4" i="11"/>
  <c r="F4" i="11"/>
  <c r="G4" i="11"/>
  <c r="G3" i="11"/>
  <c r="G5" i="11"/>
  <c r="E5" i="11"/>
  <c r="F5" i="11"/>
  <c r="D5" i="11"/>
  <c r="G81" i="11"/>
  <c r="J95" i="11"/>
  <c r="J96" i="11"/>
  <c r="I96" i="11"/>
  <c r="I95" i="11"/>
  <c r="H96" i="11"/>
  <c r="G96" i="11"/>
  <c r="G95" i="11"/>
  <c r="F96" i="11"/>
  <c r="E96" i="11"/>
  <c r="D96" i="11"/>
  <c r="C96" i="11"/>
  <c r="C95" i="11"/>
  <c r="H70" i="11"/>
  <c r="I70" i="11"/>
  <c r="J70" i="11"/>
  <c r="J69" i="11"/>
  <c r="I69" i="11"/>
  <c r="H69" i="11"/>
  <c r="G70" i="11"/>
  <c r="G69" i="11"/>
  <c r="F70" i="11"/>
  <c r="E70" i="11"/>
  <c r="D70" i="11"/>
  <c r="C70" i="11"/>
  <c r="C69" i="11"/>
  <c r="H42" i="11"/>
  <c r="I42" i="11"/>
  <c r="J23" i="11"/>
  <c r="J24" i="11"/>
  <c r="J25" i="11"/>
  <c r="J42" i="11"/>
  <c r="G42" i="11"/>
  <c r="C42" i="11"/>
  <c r="J44" i="11"/>
  <c r="I44" i="11"/>
  <c r="H44" i="11"/>
  <c r="G44" i="11"/>
  <c r="F44" i="11"/>
  <c r="E44" i="11"/>
  <c r="D44" i="11"/>
  <c r="C44" i="11"/>
  <c r="B12" i="11"/>
  <c r="B2" i="11"/>
  <c r="J81" i="11"/>
  <c r="I81" i="11"/>
  <c r="H81" i="11"/>
  <c r="F81" i="11"/>
  <c r="E81" i="11"/>
  <c r="D81" i="11"/>
  <c r="C81" i="11"/>
  <c r="J80" i="11"/>
  <c r="I80" i="11"/>
  <c r="H80" i="11"/>
  <c r="G80" i="11"/>
  <c r="F80" i="11"/>
  <c r="C80" i="11"/>
  <c r="J56" i="11"/>
  <c r="I56" i="11"/>
  <c r="H56" i="11"/>
  <c r="G56" i="11"/>
  <c r="F56" i="11"/>
  <c r="E56" i="11"/>
  <c r="D56" i="11"/>
  <c r="C56" i="11"/>
  <c r="J55" i="11"/>
  <c r="H55" i="11"/>
  <c r="G55" i="11"/>
  <c r="C55" i="11"/>
  <c r="B10" i="11"/>
  <c r="B18" i="11"/>
  <c r="C12" i="11"/>
  <c r="C10" i="11"/>
  <c r="C18" i="11"/>
  <c r="D12" i="11"/>
  <c r="D10" i="11"/>
  <c r="D18" i="11"/>
  <c r="E12" i="11"/>
  <c r="E10" i="11"/>
  <c r="E18" i="11"/>
  <c r="F12" i="11"/>
  <c r="F10" i="11"/>
  <c r="F18" i="11"/>
  <c r="G18" i="11"/>
  <c r="B16" i="11"/>
  <c r="C16" i="11"/>
  <c r="D16" i="11"/>
  <c r="E16" i="11"/>
  <c r="F16" i="11"/>
  <c r="G16" i="11"/>
  <c r="G12" i="11"/>
  <c r="B17" i="11"/>
  <c r="C17" i="11"/>
  <c r="D17" i="11"/>
  <c r="E17" i="11"/>
  <c r="F17" i="11"/>
  <c r="G17" i="11"/>
  <c r="B15" i="11"/>
  <c r="C15" i="11"/>
  <c r="D15" i="11"/>
  <c r="E15" i="11"/>
  <c r="F15" i="11"/>
  <c r="G15" i="11"/>
  <c r="G14" i="11"/>
  <c r="G13" i="11"/>
  <c r="G11" i="11"/>
  <c r="G10" i="11"/>
  <c r="G9" i="11"/>
  <c r="G8" i="11"/>
  <c r="G7" i="11"/>
  <c r="G6" i="11"/>
  <c r="C2" i="11"/>
  <c r="D2" i="11"/>
  <c r="E2" i="11"/>
  <c r="F2" i="11"/>
  <c r="G2" i="11"/>
  <c r="C5" i="10"/>
  <c r="D5" i="10"/>
  <c r="E5" i="10"/>
  <c r="C15" i="10"/>
  <c r="C16" i="10"/>
  <c r="B15" i="10"/>
  <c r="B5" i="10"/>
  <c r="B16" i="10"/>
  <c r="D15" i="10"/>
  <c r="D16" i="10"/>
  <c r="E15" i="10"/>
  <c r="E16" i="10"/>
  <c r="F15" i="10"/>
  <c r="F5" i="10"/>
  <c r="F16" i="10"/>
  <c r="G16" i="10"/>
  <c r="E14" i="10"/>
  <c r="D14" i="10"/>
  <c r="C14" i="10"/>
  <c r="B14" i="10"/>
  <c r="F14" i="10"/>
  <c r="D72" i="10"/>
  <c r="E72" i="10"/>
  <c r="F72" i="10"/>
  <c r="G72" i="10"/>
  <c r="H72" i="10"/>
  <c r="I72" i="10"/>
  <c r="J72" i="10"/>
  <c r="C72" i="10"/>
  <c r="F71" i="10"/>
  <c r="G71" i="10"/>
  <c r="H71" i="10"/>
  <c r="I71" i="10"/>
  <c r="J71" i="10"/>
  <c r="C71" i="10"/>
  <c r="I38" i="10"/>
  <c r="G38" i="10"/>
  <c r="G83" i="10"/>
  <c r="E83" i="10"/>
  <c r="D83" i="10"/>
  <c r="C83" i="10"/>
  <c r="J97" i="10"/>
  <c r="I97" i="10"/>
  <c r="H97" i="10"/>
  <c r="G97" i="10"/>
  <c r="F97" i="10"/>
  <c r="E97" i="10"/>
  <c r="D97" i="10"/>
  <c r="C97" i="10"/>
  <c r="G96" i="10"/>
  <c r="I96" i="10"/>
  <c r="J96" i="10"/>
  <c r="C96" i="10"/>
  <c r="J58" i="10"/>
  <c r="J59" i="10"/>
  <c r="I59" i="10"/>
  <c r="H58" i="10"/>
  <c r="H59" i="10"/>
  <c r="G58" i="10"/>
  <c r="G59" i="10"/>
  <c r="C58" i="10"/>
  <c r="C59" i="10"/>
  <c r="F58" i="10"/>
  <c r="H38" i="10"/>
  <c r="J38" i="10"/>
  <c r="C38" i="10"/>
  <c r="B2" i="10"/>
  <c r="C2" i="10"/>
  <c r="D2" i="10"/>
  <c r="E2" i="10"/>
  <c r="F2" i="10"/>
  <c r="G2" i="10"/>
  <c r="J83" i="10"/>
  <c r="I83" i="10"/>
  <c r="H83" i="10"/>
  <c r="F83" i="10"/>
  <c r="J82" i="10"/>
  <c r="I82" i="10"/>
  <c r="H82" i="10"/>
  <c r="G82" i="10"/>
  <c r="F82" i="10"/>
  <c r="C82" i="10"/>
  <c r="F59" i="10"/>
  <c r="E59" i="10"/>
  <c r="D59" i="10"/>
  <c r="J40" i="10"/>
  <c r="I40" i="10"/>
  <c r="H40" i="10"/>
  <c r="G40" i="10"/>
  <c r="F40" i="10"/>
  <c r="E40" i="10"/>
  <c r="D40" i="10"/>
  <c r="C40" i="10"/>
  <c r="B9" i="10"/>
  <c r="B17" i="10"/>
  <c r="C9" i="10"/>
  <c r="C17" i="10"/>
  <c r="D9" i="10"/>
  <c r="D17" i="10"/>
  <c r="E9" i="10"/>
  <c r="E17" i="10"/>
  <c r="F9" i="10"/>
  <c r="F17" i="10"/>
  <c r="G17" i="10"/>
  <c r="G15" i="10"/>
  <c r="G14" i="10"/>
  <c r="B13" i="10"/>
  <c r="C13" i="10"/>
  <c r="D13" i="10"/>
  <c r="E13" i="10"/>
  <c r="F13" i="10"/>
  <c r="G13" i="10"/>
  <c r="G12" i="10"/>
  <c r="G11" i="10"/>
  <c r="G10" i="10"/>
  <c r="G9" i="10"/>
  <c r="G8" i="10"/>
  <c r="G7" i="10"/>
  <c r="G6" i="10"/>
  <c r="G5" i="10"/>
  <c r="G4" i="10"/>
  <c r="G3" i="10"/>
  <c r="L15" i="9"/>
  <c r="B11" i="9"/>
  <c r="B15" i="9"/>
  <c r="C11" i="9"/>
  <c r="C15" i="9"/>
  <c r="D11" i="9"/>
  <c r="D15" i="9"/>
  <c r="E11" i="9"/>
  <c r="E15" i="9"/>
  <c r="F11" i="9"/>
  <c r="F15" i="9"/>
  <c r="G15" i="9"/>
  <c r="H15" i="9"/>
  <c r="I15" i="9"/>
  <c r="J15" i="9"/>
  <c r="K15" i="9"/>
  <c r="K16" i="9"/>
  <c r="M15" i="9"/>
  <c r="E14" i="9"/>
  <c r="B14" i="9"/>
  <c r="C14" i="9"/>
  <c r="D14" i="9"/>
  <c r="F14" i="9"/>
  <c r="G14" i="9"/>
  <c r="G3" i="9"/>
  <c r="J112" i="9"/>
  <c r="I112" i="9"/>
  <c r="H112" i="9"/>
  <c r="G112" i="9"/>
  <c r="F112" i="9"/>
  <c r="C112" i="9"/>
  <c r="J98" i="9"/>
  <c r="I98" i="9"/>
  <c r="H98" i="9"/>
  <c r="G98" i="9"/>
  <c r="F98" i="9"/>
  <c r="E98" i="9"/>
  <c r="D98" i="9"/>
  <c r="C98" i="9"/>
  <c r="J97" i="9"/>
  <c r="I97" i="9"/>
  <c r="H97" i="9"/>
  <c r="G97" i="9"/>
  <c r="F97" i="9"/>
  <c r="C97" i="9"/>
  <c r="J78" i="9"/>
  <c r="I78" i="9"/>
  <c r="H78" i="9"/>
  <c r="G78" i="9"/>
  <c r="F78" i="9"/>
  <c r="E78" i="9"/>
  <c r="D78" i="9"/>
  <c r="C78" i="9"/>
  <c r="J77" i="9"/>
  <c r="I77" i="9"/>
  <c r="H77" i="9"/>
  <c r="G77" i="9"/>
  <c r="F77" i="9"/>
  <c r="C77" i="9"/>
  <c r="J59" i="9"/>
  <c r="I59" i="9"/>
  <c r="H59" i="9"/>
  <c r="G59" i="9"/>
  <c r="F59" i="9"/>
  <c r="E59" i="9"/>
  <c r="D59" i="9"/>
  <c r="C59" i="9"/>
  <c r="J58" i="9"/>
  <c r="H58" i="9"/>
  <c r="G58" i="9"/>
  <c r="F58" i="9"/>
  <c r="C58" i="9"/>
  <c r="J39" i="9"/>
  <c r="I39" i="9"/>
  <c r="H39" i="9"/>
  <c r="G39" i="9"/>
  <c r="F39" i="9"/>
  <c r="E39" i="9"/>
  <c r="D39" i="9"/>
  <c r="C39" i="9"/>
  <c r="J37" i="9"/>
  <c r="H37" i="9"/>
  <c r="G37" i="9"/>
  <c r="F37" i="9"/>
  <c r="C37" i="9"/>
  <c r="B9" i="9"/>
  <c r="B17" i="9"/>
  <c r="C9" i="9"/>
  <c r="C17" i="9"/>
  <c r="D9" i="9"/>
  <c r="D17" i="9"/>
  <c r="E9" i="9"/>
  <c r="E17" i="9"/>
  <c r="F9" i="9"/>
  <c r="F17" i="9"/>
  <c r="G17" i="9"/>
  <c r="B16" i="9"/>
  <c r="C16" i="9"/>
  <c r="D16" i="9"/>
  <c r="E16" i="9"/>
  <c r="F16" i="9"/>
  <c r="G16" i="9"/>
  <c r="B13" i="9"/>
  <c r="C13" i="9"/>
  <c r="D13" i="9"/>
  <c r="E13" i="9"/>
  <c r="F13" i="9"/>
  <c r="G13" i="9"/>
  <c r="G12" i="9"/>
  <c r="G11" i="9"/>
  <c r="G10" i="9"/>
  <c r="G9" i="9"/>
  <c r="G8" i="9"/>
  <c r="G7" i="9"/>
  <c r="G6" i="9"/>
  <c r="G5" i="9"/>
  <c r="G4" i="9"/>
  <c r="C15" i="6"/>
  <c r="C16" i="6"/>
  <c r="D15" i="6"/>
  <c r="D16" i="6"/>
  <c r="E15" i="6"/>
  <c r="E16" i="6"/>
  <c r="F10" i="6"/>
  <c r="F15" i="6"/>
  <c r="F16" i="6"/>
  <c r="B15" i="6"/>
  <c r="B16" i="6"/>
  <c r="C14" i="6"/>
  <c r="D14" i="6"/>
  <c r="E14" i="6"/>
  <c r="F14" i="6"/>
  <c r="B14" i="6"/>
  <c r="C13" i="6"/>
  <c r="D13" i="6"/>
  <c r="E13" i="6"/>
  <c r="F13" i="6"/>
  <c r="B13" i="6"/>
  <c r="D59" i="6"/>
  <c r="E59" i="6"/>
  <c r="F59" i="6"/>
  <c r="G59" i="6"/>
  <c r="H59" i="6"/>
  <c r="I59" i="6"/>
  <c r="J59" i="6"/>
  <c r="C59" i="6"/>
  <c r="D39" i="6"/>
  <c r="E39" i="6"/>
  <c r="F39" i="6"/>
  <c r="G39" i="6"/>
  <c r="H39" i="6"/>
  <c r="I39" i="6"/>
  <c r="J39" i="6"/>
  <c r="C39" i="6"/>
  <c r="I98" i="6"/>
  <c r="H98" i="6"/>
  <c r="F98" i="6"/>
  <c r="D98" i="6"/>
  <c r="E98" i="6"/>
  <c r="G98" i="6"/>
  <c r="J98" i="6"/>
  <c r="C98" i="6"/>
  <c r="D78" i="6"/>
  <c r="E78" i="6"/>
  <c r="F78" i="6"/>
  <c r="G78" i="6"/>
  <c r="H78" i="6"/>
  <c r="I78" i="6"/>
  <c r="J78" i="6"/>
  <c r="C78" i="6"/>
  <c r="G15" i="6"/>
  <c r="G10" i="6"/>
  <c r="I112" i="6"/>
  <c r="J112" i="6"/>
  <c r="H112" i="6"/>
  <c r="G112" i="6"/>
  <c r="F112" i="6"/>
  <c r="C112" i="6"/>
  <c r="J97" i="6"/>
  <c r="I97" i="6"/>
  <c r="H97" i="6"/>
  <c r="G97" i="6"/>
  <c r="F97" i="6"/>
  <c r="C97" i="6"/>
  <c r="H37" i="6"/>
  <c r="H58" i="6"/>
  <c r="H77" i="6"/>
  <c r="J77" i="6"/>
  <c r="I77" i="6"/>
  <c r="G77" i="6"/>
  <c r="F77" i="6"/>
  <c r="C77" i="6"/>
  <c r="J58" i="6"/>
  <c r="G58" i="6"/>
  <c r="F58" i="6"/>
  <c r="C58" i="6"/>
  <c r="J37" i="6"/>
  <c r="G37" i="6"/>
  <c r="F37" i="6"/>
  <c r="C37" i="6"/>
  <c r="C5" i="6"/>
  <c r="D5" i="6"/>
  <c r="E5" i="6"/>
  <c r="F5" i="6"/>
  <c r="B9" i="6"/>
  <c r="B17" i="6"/>
  <c r="C9" i="6"/>
  <c r="C17" i="6"/>
  <c r="D9" i="6"/>
  <c r="D17" i="6"/>
  <c r="E9" i="6"/>
  <c r="E17" i="6"/>
  <c r="F9" i="6"/>
  <c r="F17" i="6"/>
  <c r="G17" i="6"/>
  <c r="B5" i="6"/>
  <c r="G16" i="6"/>
  <c r="G14" i="6"/>
  <c r="G11" i="6"/>
  <c r="G13" i="6"/>
  <c r="G12" i="6"/>
  <c r="G9" i="6"/>
  <c r="G8" i="6"/>
  <c r="G7" i="6"/>
  <c r="G5" i="6"/>
  <c r="G4" i="6"/>
  <c r="G6" i="6"/>
  <c r="G3" i="6"/>
  <c r="I10" i="4"/>
  <c r="C10" i="4"/>
  <c r="D10" i="4"/>
  <c r="E10" i="4"/>
  <c r="F10" i="4"/>
  <c r="G10" i="4"/>
  <c r="H10" i="4"/>
  <c r="B10" i="4"/>
  <c r="I10" i="5"/>
  <c r="C10" i="5"/>
  <c r="D10" i="5"/>
  <c r="E10" i="5"/>
  <c r="F10" i="5"/>
  <c r="B10" i="5"/>
  <c r="I17" i="5"/>
  <c r="I5" i="5"/>
  <c r="I2" i="5"/>
  <c r="I16" i="5"/>
  <c r="C16" i="5"/>
  <c r="D16" i="5"/>
  <c r="E16" i="5"/>
  <c r="F16" i="5"/>
  <c r="B16" i="5"/>
  <c r="B4" i="5"/>
  <c r="B12" i="5"/>
  <c r="C4" i="5"/>
  <c r="C12" i="5"/>
  <c r="D4" i="5"/>
  <c r="D12" i="5"/>
  <c r="E4" i="5"/>
  <c r="E12" i="5"/>
  <c r="F4" i="5"/>
  <c r="F12" i="5"/>
  <c r="I12" i="5"/>
  <c r="C13" i="5"/>
  <c r="D13" i="5"/>
  <c r="E13" i="5"/>
  <c r="F13" i="5"/>
  <c r="B13" i="5"/>
  <c r="I11" i="5"/>
  <c r="I9" i="5"/>
  <c r="F17" i="5"/>
  <c r="E17" i="5"/>
  <c r="D17" i="5"/>
  <c r="C17" i="5"/>
  <c r="B17" i="5"/>
  <c r="I13" i="5"/>
  <c r="I7" i="5"/>
  <c r="B15" i="5"/>
  <c r="C15" i="5"/>
  <c r="D15" i="5"/>
  <c r="E15" i="5"/>
  <c r="F15" i="5"/>
  <c r="I15" i="5"/>
  <c r="B14" i="5"/>
  <c r="C14" i="5"/>
  <c r="D14" i="5"/>
  <c r="E14" i="5"/>
  <c r="F14" i="5"/>
  <c r="I14" i="5"/>
  <c r="I8" i="5"/>
  <c r="I6" i="5"/>
  <c r="I4" i="5"/>
  <c r="I3" i="5"/>
  <c r="B13" i="4"/>
  <c r="B16" i="4"/>
  <c r="C13" i="4"/>
  <c r="C16" i="4"/>
  <c r="D13" i="4"/>
  <c r="D16" i="4"/>
  <c r="E13" i="4"/>
  <c r="E16" i="4"/>
  <c r="F13" i="4"/>
  <c r="F16" i="4"/>
  <c r="G13" i="4"/>
  <c r="G16" i="4"/>
  <c r="H13" i="4"/>
  <c r="H16" i="4"/>
  <c r="I13" i="4"/>
  <c r="I7" i="4"/>
  <c r="I16" i="4"/>
  <c r="I8" i="4"/>
  <c r="B14" i="4"/>
  <c r="B15" i="4"/>
  <c r="C15" i="4"/>
  <c r="D15" i="4"/>
  <c r="E15" i="4"/>
  <c r="F15" i="4"/>
  <c r="G15" i="4"/>
  <c r="I9" i="4"/>
  <c r="B19" i="4"/>
  <c r="C19" i="4"/>
  <c r="D19" i="4"/>
  <c r="E19" i="4"/>
  <c r="F19" i="4"/>
  <c r="G19" i="4"/>
  <c r="H19" i="4"/>
  <c r="I11" i="4"/>
  <c r="I19" i="4"/>
  <c r="B22" i="4"/>
  <c r="C22" i="4"/>
  <c r="D22" i="4"/>
  <c r="E22" i="4"/>
  <c r="F22" i="4"/>
  <c r="G22" i="4"/>
  <c r="H22" i="4"/>
  <c r="I22" i="4"/>
  <c r="B23" i="4"/>
  <c r="C23" i="4"/>
  <c r="D23" i="4"/>
  <c r="E23" i="4"/>
  <c r="F23" i="4"/>
  <c r="G23" i="4"/>
  <c r="H23" i="4"/>
  <c r="I23" i="4"/>
  <c r="H12" i="4"/>
  <c r="C12" i="4"/>
  <c r="D12" i="4"/>
  <c r="E12" i="4"/>
  <c r="F12" i="4"/>
  <c r="G12" i="4"/>
  <c r="B12" i="4"/>
  <c r="H14" i="4"/>
  <c r="C14" i="4"/>
  <c r="D14" i="4"/>
  <c r="E14" i="4"/>
  <c r="F14" i="4"/>
  <c r="G14" i="4"/>
  <c r="H15" i="4"/>
  <c r="I15" i="4"/>
  <c r="I4" i="4"/>
  <c r="I5" i="4"/>
  <c r="I6" i="4"/>
  <c r="I3" i="4"/>
  <c r="I2" i="4"/>
  <c r="I12" i="4"/>
  <c r="I14" i="4"/>
  <c r="C4" i="3"/>
  <c r="C13" i="3"/>
  <c r="D4" i="3"/>
  <c r="D13" i="3"/>
  <c r="E4" i="3"/>
  <c r="E13" i="3"/>
  <c r="F4" i="3"/>
  <c r="F13" i="3"/>
  <c r="B4" i="3"/>
  <c r="B13" i="3"/>
  <c r="G10" i="3"/>
  <c r="G9" i="3"/>
  <c r="B12" i="3"/>
  <c r="C12" i="3"/>
  <c r="D12" i="3"/>
  <c r="E12" i="3"/>
  <c r="F12" i="3"/>
  <c r="G12" i="3"/>
  <c r="G8" i="3"/>
  <c r="G13" i="3"/>
  <c r="B14" i="3"/>
  <c r="C14" i="3"/>
  <c r="D14" i="3"/>
  <c r="E14" i="3"/>
  <c r="F14" i="3"/>
  <c r="G14" i="3"/>
  <c r="G11" i="3"/>
  <c r="G7" i="3"/>
  <c r="F145" i="3"/>
  <c r="F119" i="3"/>
  <c r="F95" i="3"/>
  <c r="F68" i="3"/>
  <c r="G42" i="3"/>
  <c r="F42" i="3"/>
  <c r="C42" i="3"/>
  <c r="J96" i="1"/>
  <c r="J81" i="1"/>
  <c r="J56" i="1"/>
  <c r="J36" i="1"/>
  <c r="I36" i="1"/>
  <c r="H36" i="1"/>
  <c r="G36" i="1"/>
  <c r="F36" i="1"/>
  <c r="E36" i="1"/>
  <c r="D36" i="1"/>
  <c r="C36" i="1"/>
  <c r="I56" i="1"/>
  <c r="H56" i="1"/>
  <c r="G56" i="1"/>
  <c r="F56" i="1"/>
  <c r="E56" i="1"/>
  <c r="D56" i="1"/>
  <c r="C56" i="1"/>
  <c r="I81" i="1"/>
  <c r="H81" i="1"/>
  <c r="G81" i="1"/>
  <c r="F81" i="1"/>
  <c r="E81" i="1"/>
  <c r="D81" i="1"/>
  <c r="C81" i="1"/>
  <c r="I96" i="1"/>
  <c r="H96" i="1"/>
  <c r="G96" i="1"/>
  <c r="F96" i="1"/>
  <c r="E96" i="1"/>
  <c r="D96" i="1"/>
  <c r="C96" i="1"/>
  <c r="G20" i="1"/>
  <c r="I20" i="1"/>
  <c r="J20" i="1"/>
  <c r="D20" i="1"/>
  <c r="C20" i="1"/>
  <c r="H20" i="1"/>
  <c r="F20" i="1"/>
  <c r="E20" i="1"/>
</calcChain>
</file>

<file path=xl/sharedStrings.xml><?xml version="1.0" encoding="utf-8"?>
<sst xmlns="http://schemas.openxmlformats.org/spreadsheetml/2006/main" count="1201" uniqueCount="257">
  <si>
    <t>Trades</t>
  </si>
  <si>
    <t>Coin</t>
  </si>
  <si>
    <t>Actual Profit (ZAR)</t>
  </si>
  <si>
    <t>Actual Profit (%)</t>
  </si>
  <si>
    <t>Actual Loss (%)</t>
  </si>
  <si>
    <t>Profit Target (%)</t>
  </si>
  <si>
    <t>Target Stop Loss (%)</t>
  </si>
  <si>
    <t>Total (ZAR)</t>
  </si>
  <si>
    <t>Monday</t>
  </si>
  <si>
    <t>Actual Loss (ZAR)</t>
  </si>
  <si>
    <t>Injective (INJ)</t>
  </si>
  <si>
    <t>Sei (SEI)</t>
  </si>
  <si>
    <t>Arbitrum (ARB)</t>
  </si>
  <si>
    <t>Optimism (OP)</t>
  </si>
  <si>
    <t>Celestia (TIA)</t>
  </si>
  <si>
    <t>Jupiter (JUP)</t>
  </si>
  <si>
    <t>Ondo (ONDO)</t>
  </si>
  <si>
    <t>Aptos (APT)</t>
  </si>
  <si>
    <t>THORChain (RUNE)</t>
  </si>
  <si>
    <t>Pyth Network (PYTH)</t>
  </si>
  <si>
    <t>Akash Network (AKT)</t>
  </si>
  <si>
    <t>Conflux (CFX)</t>
  </si>
  <si>
    <t>Virtuals Protocol (VIRTUAL)</t>
  </si>
  <si>
    <t>Horizen (ZEN)</t>
  </si>
  <si>
    <t>Theta Network (THETA)</t>
  </si>
  <si>
    <t>Render (RENDER)</t>
  </si>
  <si>
    <t>Starknet (STRK)</t>
  </si>
  <si>
    <t>TOTAL</t>
  </si>
  <si>
    <t>Capital allocated(ZAR)</t>
  </si>
  <si>
    <t>Tuesday</t>
  </si>
  <si>
    <t>Sui (SUI)</t>
  </si>
  <si>
    <t>Bittensor (TAO)</t>
  </si>
  <si>
    <t>Ethena (ENA)</t>
  </si>
  <si>
    <t>Immutable (IMX)</t>
  </si>
  <si>
    <t>Aave (AAVE)</t>
  </si>
  <si>
    <t>Pendle (PENDLE)</t>
  </si>
  <si>
    <t>Wormhole (W)</t>
  </si>
  <si>
    <t>LayerZero (ZRO)</t>
  </si>
  <si>
    <t>Jito (JTO)</t>
  </si>
  <si>
    <t>Aerodrome (AERO)</t>
  </si>
  <si>
    <t>Wednesday</t>
  </si>
  <si>
    <t>Thursday</t>
  </si>
  <si>
    <t>Friday</t>
  </si>
  <si>
    <t>Manta Network (MANTA)</t>
  </si>
  <si>
    <t>Kaspa (KAS)</t>
  </si>
  <si>
    <t>Mantle (MNT)</t>
  </si>
  <si>
    <t>Astar (ASTR)</t>
  </si>
  <si>
    <t>Raydium (RAY)</t>
  </si>
  <si>
    <t>dYdX (DYDX)</t>
  </si>
  <si>
    <t>Mina Protocol (MINA)</t>
  </si>
  <si>
    <t>Ronin (RON)</t>
  </si>
  <si>
    <t>Maker (MKR)</t>
  </si>
  <si>
    <t>Curve DAO (CRV)</t>
  </si>
  <si>
    <t>Lido DAO (LDO)</t>
  </si>
  <si>
    <t>Compound (COMP)</t>
  </si>
  <si>
    <t>Sushi (SUSHI)</t>
  </si>
  <si>
    <t>1inch (1INCH)</t>
  </si>
  <si>
    <t>Enjin Coin (ENJ)</t>
  </si>
  <si>
    <t>The Sandbox (SAND)</t>
  </si>
  <si>
    <t>Decentraland (MANA)</t>
  </si>
  <si>
    <t>Axie Infinity (AXS)</t>
  </si>
  <si>
    <t>Chiliz (CHZ)</t>
  </si>
  <si>
    <t>Internet Computer (ICP)</t>
  </si>
  <si>
    <t>Filecoin (FIL)</t>
  </si>
  <si>
    <t>Cosmos (ATOM)</t>
  </si>
  <si>
    <t>NEAR Protocol (NEAR)</t>
  </si>
  <si>
    <t>The Graph (GRT)</t>
  </si>
  <si>
    <t>Algorand (ALGO)</t>
  </si>
  <si>
    <t>Hedera (HBAR)</t>
  </si>
  <si>
    <t>VeChain (VET)</t>
  </si>
  <si>
    <t>Flow (FLOW)</t>
  </si>
  <si>
    <t>MultiversX (EGLD)</t>
  </si>
  <si>
    <t>Kava (KAVA)</t>
  </si>
  <si>
    <t>Oasis Network (ROSE)</t>
  </si>
  <si>
    <t>IOTA (IOTA)</t>
  </si>
  <si>
    <t>Celo (CELO)</t>
  </si>
  <si>
    <t>Zilliqa (ZIL)</t>
  </si>
  <si>
    <t>Metis (METIS)</t>
  </si>
  <si>
    <t>Aleph Zero (AZERO)</t>
  </si>
  <si>
    <t>Cartesi (CTSI)</t>
  </si>
  <si>
    <t>Audius (AUDIO)</t>
  </si>
  <si>
    <t>Band Protocol (BAND)</t>
  </si>
  <si>
    <t>Quant (QNT)</t>
  </si>
  <si>
    <t>Gala (GALA)</t>
  </si>
  <si>
    <t>Arweave (AR)</t>
  </si>
  <si>
    <t>Zcash (ZEC)</t>
  </si>
  <si>
    <t>Dash (DASH)</t>
  </si>
  <si>
    <t>Fetch.ai (FET)</t>
  </si>
  <si>
    <t>dKargo (DKA)</t>
  </si>
  <si>
    <t>GMX (GMX)</t>
  </si>
  <si>
    <t>Blur (BLUR)</t>
  </si>
  <si>
    <t>Safe (SAFE)</t>
  </si>
  <si>
    <t>Livepeer (LPT)</t>
  </si>
  <si>
    <t>SKALE (SKL)</t>
  </si>
  <si>
    <t>COTI (COTI)</t>
  </si>
  <si>
    <t>Ontology (ONT)</t>
  </si>
  <si>
    <t>Litecoin (LTC)</t>
  </si>
  <si>
    <t>Bitcoin Cash (BCH)</t>
  </si>
  <si>
    <t>Stellar (XLM)</t>
  </si>
  <si>
    <t>Neo (NEO)</t>
  </si>
  <si>
    <t>EOS (EOS)</t>
  </si>
  <si>
    <t>Tezos (XTZ)</t>
  </si>
  <si>
    <t>Basic Attention Token (BAT)</t>
  </si>
  <si>
    <t>0x (ZRX)</t>
  </si>
  <si>
    <t>Waves (WAVES)</t>
  </si>
  <si>
    <t>Harmony (ONE)</t>
  </si>
  <si>
    <t>Loopring (LRC)</t>
  </si>
  <si>
    <t>Ankr (ANKR)</t>
  </si>
  <si>
    <t>Storj (STORJ)</t>
  </si>
  <si>
    <t>iExec RLC (RLC)</t>
  </si>
  <si>
    <t>Metric</t>
  </si>
  <si>
    <t>Total Trades</t>
  </si>
  <si>
    <t>Success Rate (%)</t>
  </si>
  <si>
    <t>Actual P/L(ZAR)</t>
  </si>
  <si>
    <t>Daily Loss (ZAR)</t>
  </si>
  <si>
    <t>Daily Profit(ZAR)</t>
  </si>
  <si>
    <t>Weekly Results</t>
  </si>
  <si>
    <t>No. of winning trades</t>
  </si>
  <si>
    <t>No. of losing trades</t>
  </si>
  <si>
    <t>Daily Profit(%)</t>
  </si>
  <si>
    <t>Daily Loss(%)</t>
  </si>
  <si>
    <t xml:space="preserve">Capital Allocated Per Trade (ZAR) </t>
  </si>
  <si>
    <t>Capital traded today (ZAR)</t>
  </si>
  <si>
    <t>Average Profit per trade</t>
  </si>
  <si>
    <t>Actual P/L on allocated capital(%)</t>
  </si>
  <si>
    <t>Race</t>
  </si>
  <si>
    <t>Friday 14 aug 2026</t>
  </si>
  <si>
    <t>Thursday 13 aug 2026</t>
  </si>
  <si>
    <t>Wednesday 12 aug 2026</t>
  </si>
  <si>
    <t>Tuesday 11 aug 2026</t>
  </si>
  <si>
    <t>Monday 10 aug 2026</t>
  </si>
  <si>
    <t>Capital allocated (ZAR)</t>
  </si>
  <si>
    <t>Velvet (VELVET)</t>
  </si>
  <si>
    <t>Across Protocol (ACX)</t>
  </si>
  <si>
    <t>StableUSD (STABLEUSD)</t>
  </si>
  <si>
    <t>Power Protocol (POWER)</t>
  </si>
  <si>
    <t>DeXe</t>
  </si>
  <si>
    <t>Saturday</t>
  </si>
  <si>
    <t>Sunday</t>
  </si>
  <si>
    <t>Virtual Protocol (VIRTUAL)</t>
  </si>
  <si>
    <t>EDEN</t>
  </si>
  <si>
    <t>DeXe (DEXE)</t>
  </si>
  <si>
    <t>LIT</t>
  </si>
  <si>
    <t>VVV</t>
  </si>
  <si>
    <t>Uniswap (UNI)</t>
  </si>
  <si>
    <t>PowerPool (POWER)</t>
  </si>
  <si>
    <t>Pump.fun (PUMP)</t>
  </si>
  <si>
    <t>Hyperliquid (HYPE)</t>
  </si>
  <si>
    <t>SPX6900 (SPX)</t>
  </si>
  <si>
    <t>Monero (XMR)</t>
  </si>
  <si>
    <t>Chainlink (LINK)</t>
  </si>
  <si>
    <t>XRP</t>
  </si>
  <si>
    <t>Solana (SOL)</t>
  </si>
  <si>
    <t>*</t>
  </si>
  <si>
    <t>Total capital traded today (ZAR)</t>
  </si>
  <si>
    <t>Total Profit(ZAR)</t>
  </si>
  <si>
    <t>Total Loss (ZAR)</t>
  </si>
  <si>
    <t>Total Loss/Profit Ratio(%)</t>
  </si>
  <si>
    <t>Average Profit per trade (%)</t>
  </si>
  <si>
    <t>Average Profit per trade (ZAR)</t>
  </si>
  <si>
    <t>Target Profit (ZAR)</t>
  </si>
  <si>
    <t>Target Profit (%)</t>
  </si>
  <si>
    <t>Total Loss (%)</t>
  </si>
  <si>
    <t>Actual profit/loss (ZAR)</t>
  </si>
  <si>
    <t>Actual profit/loss (%)</t>
  </si>
  <si>
    <t>Trader Performance (%)</t>
  </si>
  <si>
    <t>-</t>
  </si>
  <si>
    <t>Aerodrome Finance (AERO)</t>
  </si>
  <si>
    <t>Bonk (BONK)</t>
  </si>
  <si>
    <t>Brett (BRETT)</t>
  </si>
  <si>
    <t>Floki (FLOKI)</t>
  </si>
  <si>
    <t>MANTRA (OM)</t>
  </si>
  <si>
    <t>Capital allocated</t>
  </si>
  <si>
    <t>Stop Loss %</t>
  </si>
  <si>
    <t>Profit Target %</t>
  </si>
  <si>
    <t>Actual Profit %</t>
  </si>
  <si>
    <t>Actual Profit ZAR</t>
  </si>
  <si>
    <t>Actual Loss %</t>
  </si>
  <si>
    <t>Actual Loss ZAR</t>
  </si>
  <si>
    <t>Total ZAR</t>
  </si>
  <si>
    <t>Fantom (FTM)</t>
  </si>
  <si>
    <t>Osmosis (OSMO)</t>
  </si>
  <si>
    <t>Trade</t>
  </si>
  <si>
    <t>Total Profit(%)</t>
  </si>
  <si>
    <t>Total</t>
  </si>
  <si>
    <t xml:space="preserve"> Actual Loss (ZAR) </t>
  </si>
  <si>
    <t>Flare (FLR)</t>
  </si>
  <si>
    <t>PancakeSwap (CAKE)</t>
  </si>
  <si>
    <t>APT (APT)</t>
  </si>
  <si>
    <t>Total Profit/Loss Ratio(%)</t>
  </si>
  <si>
    <t>Average</t>
  </si>
  <si>
    <t xml:space="preserve">Allocation/ Trade (ZAR) </t>
  </si>
  <si>
    <t>My actual balance (ZAR)</t>
  </si>
  <si>
    <t>My trading capital (TC)  (ZAR)</t>
  </si>
  <si>
    <t>No of executed trades</t>
  </si>
  <si>
    <t>Daily Target Profit/ TC (ZAR)</t>
  </si>
  <si>
    <t>Daily Target Profit/ TC (%)</t>
  </si>
  <si>
    <t>Profit after loss (ZAR)</t>
  </si>
  <si>
    <t>Profit after loss (%)</t>
  </si>
  <si>
    <t>Overall Profit Before Loss (ZAR)</t>
  </si>
  <si>
    <t>Overall Loss (ZAR)</t>
  </si>
  <si>
    <t>Overall Profit Before Loss/ TC (%)</t>
  </si>
  <si>
    <t>Overall Loss (%)</t>
  </si>
  <si>
    <t>Capital Used (ZAR)</t>
  </si>
  <si>
    <t>My Target Score (%)</t>
  </si>
  <si>
    <t>Monthly Profit</t>
  </si>
  <si>
    <t>Tax</t>
  </si>
  <si>
    <t>Commission</t>
  </si>
  <si>
    <t>Profit</t>
  </si>
  <si>
    <t>Capital Allocated</t>
  </si>
  <si>
    <t>Target Stop Loss</t>
  </si>
  <si>
    <t>Profit Target</t>
  </si>
  <si>
    <t>Actual Profit</t>
  </si>
  <si>
    <t>Actual Loss</t>
  </si>
  <si>
    <t>BNB</t>
  </si>
  <si>
    <t>SOL</t>
  </si>
  <si>
    <t>ZEC</t>
  </si>
  <si>
    <t>LSK</t>
  </si>
  <si>
    <t>PUNDIX</t>
  </si>
  <si>
    <t>NEAR</t>
  </si>
  <si>
    <t>VTHO</t>
  </si>
  <si>
    <t>MINA</t>
  </si>
  <si>
    <t>SOPH</t>
  </si>
  <si>
    <t>KAT</t>
  </si>
  <si>
    <t>VET</t>
  </si>
  <si>
    <t>GENIUS</t>
  </si>
  <si>
    <t>EGLD</t>
  </si>
  <si>
    <t>BAT</t>
  </si>
  <si>
    <t>ADA</t>
  </si>
  <si>
    <t>DOT</t>
  </si>
  <si>
    <t>ATOM</t>
  </si>
  <si>
    <t>FIL</t>
  </si>
  <si>
    <t>APT</t>
  </si>
  <si>
    <t>POL</t>
  </si>
  <si>
    <t>RAY</t>
  </si>
  <si>
    <t>KMNO</t>
  </si>
  <si>
    <t>LTC</t>
  </si>
  <si>
    <t>QNT</t>
  </si>
  <si>
    <t>ZRO</t>
  </si>
  <si>
    <t>SAGA</t>
  </si>
  <si>
    <t>SENT</t>
  </si>
  <si>
    <t>ARK</t>
  </si>
  <si>
    <t>MUBARAK</t>
  </si>
  <si>
    <t>STG</t>
  </si>
  <si>
    <t>FTT</t>
  </si>
  <si>
    <t>OG</t>
  </si>
  <si>
    <t>CFG</t>
  </si>
  <si>
    <t>PHA</t>
  </si>
  <si>
    <t>ONE</t>
  </si>
  <si>
    <t>COTI</t>
  </si>
  <si>
    <t>DYM</t>
  </si>
  <si>
    <t>QI</t>
  </si>
  <si>
    <t>NIL</t>
  </si>
  <si>
    <t>BANANAS</t>
  </si>
  <si>
    <t>ACE</t>
  </si>
  <si>
    <t>Trading Capital Available (ZAR)</t>
  </si>
  <si>
    <t>Capital Used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</si>
</sst>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6" formatCode="&quot;R&quot;#,##0_);[Red]\(&quot;R&quot;#,##0\)"/>
    <numFmt numFmtId="8" formatCode="&quot;R&quot;#,##0.00_);[Red]\(&quot;R&quot;#,##0.00\)"/>
    <numFmt numFmtId="44" formatCode="_(&quot;R&quot;* #,##0.00_);_(&quot;R&quot;* \(#,##0.00\);_(&quot;R&quot;* &quot;-&quot;??_);_(@_)"/>
    <numFmt numFmtId="43" formatCode="_(* #,##0.00_);_(* \(#,##0.00\);_(* &quot;-&quot;??_);_(@_)"/>
    <numFmt numFmtId="164" formatCode="&quot;R&quot;#,##0.00"/>
    <numFmt numFmtId="165" formatCode="0.0%"/>
    <numFmt numFmtId="166" formatCode="0.000%"/>
    <numFmt numFmtId="167" formatCode="[$-F800]dddd\,\ mmmm\ dd\,\ yyyy"/>
    <numFmt numFmtId="169" formatCode="#,##0.00;\(#,##0.00\)"/>
  </numFmts>
  <fonts count="3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rgb="FF0432FF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rgb="FF8EFA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2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295">
    <xf numFmtId="0" fontId="0" fillId="0" borderId="0" xfId="0"/>
    <xf numFmtId="0" fontId="0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3" fontId="0" fillId="0" borderId="0" xfId="1" applyFont="1" applyAlignment="1">
      <alignment horizontal="center" vertical="top"/>
    </xf>
    <xf numFmtId="10" fontId="0" fillId="0" borderId="0" xfId="0" applyNumberFormat="1" applyFont="1" applyAlignment="1">
      <alignment horizontal="center" vertical="top"/>
    </xf>
    <xf numFmtId="9" fontId="0" fillId="0" borderId="0" xfId="0" applyNumberFormat="1" applyFont="1" applyAlignment="1">
      <alignment horizontal="center" vertical="top"/>
    </xf>
    <xf numFmtId="9" fontId="0" fillId="0" borderId="0" xfId="2" applyFont="1" applyAlignment="1">
      <alignment horizontal="center" vertical="top"/>
    </xf>
    <xf numFmtId="6" fontId="0" fillId="0" borderId="0" xfId="0" applyNumberFormat="1" applyFont="1" applyAlignment="1">
      <alignment horizontal="center" vertical="top"/>
    </xf>
    <xf numFmtId="165" fontId="0" fillId="0" borderId="0" xfId="2" applyNumberFormat="1" applyFont="1" applyAlignment="1">
      <alignment horizontal="center" vertical="top"/>
    </xf>
    <xf numFmtId="164" fontId="0" fillId="0" borderId="0" xfId="0" applyNumberFormat="1" applyFont="1" applyAlignment="1">
      <alignment horizontal="center" vertical="top"/>
    </xf>
    <xf numFmtId="6" fontId="11" fillId="0" borderId="0" xfId="0" applyNumberFormat="1" applyFont="1" applyFill="1" applyAlignment="1">
      <alignment horizontal="center" vertical="top"/>
    </xf>
    <xf numFmtId="6" fontId="4" fillId="0" borderId="0" xfId="0" applyNumberFormat="1" applyFont="1" applyFill="1" applyAlignment="1">
      <alignment horizontal="center" vertical="top"/>
    </xf>
    <xf numFmtId="6" fontId="12" fillId="0" borderId="0" xfId="0" applyNumberFormat="1" applyFont="1" applyAlignment="1">
      <alignment horizontal="center" vertical="top"/>
    </xf>
    <xf numFmtId="6" fontId="9" fillId="0" borderId="0" xfId="0" applyNumberFormat="1" applyFont="1" applyFill="1" applyAlignment="1">
      <alignment horizontal="center" vertical="top"/>
    </xf>
    <xf numFmtId="10" fontId="10" fillId="0" borderId="0" xfId="0" applyNumberFormat="1" applyFont="1" applyFill="1" applyAlignment="1">
      <alignment horizontal="center" vertical="top"/>
    </xf>
    <xf numFmtId="9" fontId="9" fillId="0" borderId="0" xfId="0" applyNumberFormat="1" applyFont="1" applyFill="1" applyAlignment="1">
      <alignment horizontal="center" vertical="top"/>
    </xf>
    <xf numFmtId="165" fontId="5" fillId="0" borderId="0" xfId="2" applyNumberFormat="1" applyFont="1" applyAlignment="1">
      <alignment horizontal="center" vertical="top"/>
    </xf>
    <xf numFmtId="0" fontId="6" fillId="0" borderId="0" xfId="0" applyFont="1" applyFill="1" applyAlignment="1">
      <alignment horizontal="center" vertical="top"/>
    </xf>
    <xf numFmtId="6" fontId="6" fillId="0" borderId="0" xfId="0" applyNumberFormat="1" applyFont="1" applyFill="1" applyAlignment="1">
      <alignment horizontal="center" vertical="top"/>
    </xf>
    <xf numFmtId="43" fontId="6" fillId="0" borderId="0" xfId="0" applyNumberFormat="1" applyFont="1" applyFill="1" applyAlignment="1">
      <alignment horizontal="center" vertical="top"/>
    </xf>
    <xf numFmtId="10" fontId="6" fillId="0" borderId="0" xfId="0" applyNumberFormat="1" applyFont="1" applyFill="1" applyAlignment="1">
      <alignment horizontal="center" vertical="top"/>
    </xf>
    <xf numFmtId="9" fontId="6" fillId="0" borderId="0" xfId="0" applyNumberFormat="1" applyFont="1" applyFill="1" applyAlignment="1">
      <alignment horizontal="center" vertical="top"/>
    </xf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6" fontId="9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6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6" fontId="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6" fontId="9" fillId="0" borderId="0" xfId="0" applyNumberFormat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0" fontId="6" fillId="0" borderId="0" xfId="2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166" fontId="6" fillId="0" borderId="0" xfId="2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0" fontId="13" fillId="0" borderId="1" xfId="0" applyNumberFormat="1" applyFont="1" applyFill="1" applyBorder="1" applyAlignment="1">
      <alignment horizontal="center" vertical="center"/>
    </xf>
    <xf numFmtId="6" fontId="13" fillId="0" borderId="1" xfId="0" applyNumberFormat="1" applyFont="1" applyFill="1" applyBorder="1" applyAlignment="1">
      <alignment horizontal="center" vertical="center"/>
    </xf>
    <xf numFmtId="6" fontId="14" fillId="0" borderId="1" xfId="0" applyNumberFormat="1" applyFont="1" applyBorder="1" applyAlignment="1">
      <alignment horizontal="center" vertical="center"/>
    </xf>
    <xf numFmtId="8" fontId="14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43" fontId="15" fillId="0" borderId="1" xfId="0" applyNumberFormat="1" applyFont="1" applyBorder="1" applyAlignment="1">
      <alignment horizontal="left" vertical="center" wrapText="1"/>
    </xf>
    <xf numFmtId="4" fontId="15" fillId="0" borderId="2" xfId="0" applyNumberFormat="1" applyFont="1" applyBorder="1" applyAlignment="1">
      <alignment horizontal="center" vertical="center"/>
    </xf>
    <xf numFmtId="43" fontId="16" fillId="0" borderId="1" xfId="0" applyNumberFormat="1" applyFont="1" applyBorder="1" applyAlignment="1">
      <alignment horizontal="left" vertical="center" wrapText="1"/>
    </xf>
    <xf numFmtId="4" fontId="16" fillId="0" borderId="2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9" fontId="14" fillId="2" borderId="1" xfId="0" applyNumberFormat="1" applyFont="1" applyFill="1" applyBorder="1" applyAlignment="1">
      <alignment horizontal="center" vertical="center"/>
    </xf>
    <xf numFmtId="10" fontId="14" fillId="3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10" fontId="15" fillId="0" borderId="1" xfId="2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166" fontId="17" fillId="0" borderId="1" xfId="2" applyNumberFormat="1" applyFont="1" applyBorder="1" applyAlignment="1">
      <alignment horizontal="center" vertical="center"/>
    </xf>
    <xf numFmtId="166" fontId="13" fillId="0" borderId="1" xfId="0" applyNumberFormat="1" applyFont="1" applyFill="1" applyBorder="1" applyAlignment="1">
      <alignment horizontal="center" vertical="center"/>
    </xf>
    <xf numFmtId="8" fontId="13" fillId="0" borderId="1" xfId="0" applyNumberFormat="1" applyFont="1" applyFill="1" applyBorder="1" applyAlignment="1">
      <alignment horizontal="center" vertical="center"/>
    </xf>
    <xf numFmtId="10" fontId="13" fillId="3" borderId="1" xfId="0" applyNumberFormat="1" applyFont="1" applyFill="1" applyBorder="1" applyAlignment="1">
      <alignment horizontal="center" vertical="center"/>
    </xf>
    <xf numFmtId="10" fontId="13" fillId="2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/>
    </xf>
    <xf numFmtId="6" fontId="14" fillId="4" borderId="1" xfId="0" applyNumberFormat="1" applyFont="1" applyFill="1" applyBorder="1" applyAlignment="1">
      <alignment horizontal="center" vertical="center"/>
    </xf>
    <xf numFmtId="6" fontId="13" fillId="4" borderId="1" xfId="0" applyNumberFormat="1" applyFont="1" applyFill="1" applyBorder="1" applyAlignment="1">
      <alignment horizontal="center" vertical="center"/>
    </xf>
    <xf numFmtId="8" fontId="0" fillId="0" borderId="0" xfId="0" applyNumberFormat="1"/>
    <xf numFmtId="10" fontId="0" fillId="0" borderId="0" xfId="0" applyNumberFormat="1"/>
    <xf numFmtId="9" fontId="0" fillId="0" borderId="0" xfId="0" applyNumberFormat="1"/>
    <xf numFmtId="6" fontId="0" fillId="0" borderId="0" xfId="0" applyNumberFormat="1"/>
    <xf numFmtId="0" fontId="0" fillId="0" borderId="0" xfId="0" applyAlignment="1">
      <alignment horizontal="center"/>
    </xf>
    <xf numFmtId="9" fontId="0" fillId="0" borderId="0" xfId="2" applyFont="1"/>
    <xf numFmtId="10" fontId="0" fillId="0" borderId="0" xfId="2" applyNumberFormat="1" applyFont="1"/>
    <xf numFmtId="0" fontId="6" fillId="0" borderId="0" xfId="0" applyFont="1"/>
    <xf numFmtId="0" fontId="13" fillId="0" borderId="3" xfId="0" applyFont="1" applyFill="1" applyBorder="1" applyAlignment="1">
      <alignment horizontal="center" vertical="center"/>
    </xf>
    <xf numFmtId="0" fontId="0" fillId="0" borderId="0" xfId="0" applyBorder="1"/>
    <xf numFmtId="8" fontId="6" fillId="0" borderId="0" xfId="0" applyNumberFormat="1" applyFont="1"/>
    <xf numFmtId="10" fontId="6" fillId="0" borderId="0" xfId="0" applyNumberFormat="1" applyFont="1"/>
    <xf numFmtId="8" fontId="0" fillId="0" borderId="0" xfId="0" applyNumberFormat="1" applyFont="1" applyBorder="1" applyAlignment="1">
      <alignment horizontal="center"/>
    </xf>
    <xf numFmtId="8" fontId="0" fillId="0" borderId="0" xfId="0" applyNumberFormat="1" applyFont="1" applyBorder="1"/>
    <xf numFmtId="8" fontId="6" fillId="0" borderId="0" xfId="0" applyNumberFormat="1" applyFont="1" applyBorder="1"/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0" fontId="6" fillId="0" borderId="0" xfId="0" applyFont="1" applyBorder="1"/>
    <xf numFmtId="8" fontId="0" fillId="0" borderId="0" xfId="0" applyNumberFormat="1" applyBorder="1"/>
    <xf numFmtId="43" fontId="15" fillId="0" borderId="0" xfId="0" applyNumberFormat="1" applyFont="1" applyBorder="1" applyAlignment="1">
      <alignment horizontal="left" vertical="center" wrapText="1"/>
    </xf>
    <xf numFmtId="10" fontId="0" fillId="0" borderId="0" xfId="0" applyNumberFormat="1" applyBorder="1"/>
    <xf numFmtId="6" fontId="6" fillId="0" borderId="0" xfId="0" applyNumberFormat="1" applyFont="1" applyBorder="1"/>
    <xf numFmtId="6" fontId="6" fillId="0" borderId="0" xfId="0" applyNumberFormat="1" applyFont="1"/>
    <xf numFmtId="43" fontId="15" fillId="0" borderId="1" xfId="1" applyFont="1" applyFill="1" applyBorder="1" applyAlignment="1">
      <alignment horizontal="center" vertical="center"/>
    </xf>
    <xf numFmtId="43" fontId="0" fillId="0" borderId="0" xfId="1" applyFont="1"/>
    <xf numFmtId="43" fontId="6" fillId="0" borderId="0" xfId="1" applyFont="1"/>
    <xf numFmtId="43" fontId="6" fillId="0" borderId="4" xfId="1" applyFont="1" applyBorder="1" applyAlignment="1"/>
    <xf numFmtId="10" fontId="6" fillId="2" borderId="4" xfId="2" applyNumberFormat="1" applyFont="1" applyFill="1" applyBorder="1" applyAlignment="1"/>
    <xf numFmtId="43" fontId="6" fillId="3" borderId="4" xfId="1" applyFont="1" applyFill="1" applyBorder="1" applyAlignment="1"/>
    <xf numFmtId="8" fontId="6" fillId="0" borderId="1" xfId="1" applyNumberFormat="1" applyFont="1" applyBorder="1" applyAlignment="1"/>
    <xf numFmtId="10" fontId="10" fillId="0" borderId="4" xfId="1" applyNumberFormat="1" applyFont="1" applyBorder="1" applyAlignment="1"/>
    <xf numFmtId="0" fontId="5" fillId="0" borderId="0" xfId="0" applyFont="1"/>
    <xf numFmtId="0" fontId="5" fillId="0" borderId="0" xfId="0" applyFont="1" applyBorder="1"/>
    <xf numFmtId="6" fontId="5" fillId="0" borderId="0" xfId="0" applyNumberFormat="1" applyFont="1"/>
    <xf numFmtId="8" fontId="5" fillId="0" borderId="0" xfId="0" applyNumberFormat="1" applyFont="1" applyBorder="1"/>
    <xf numFmtId="8" fontId="5" fillId="0" borderId="0" xfId="0" applyNumberFormat="1" applyFont="1"/>
    <xf numFmtId="9" fontId="13" fillId="0" borderId="1" xfId="2" applyFont="1" applyBorder="1" applyAlignment="1">
      <alignment horizontal="left" vertical="center"/>
    </xf>
    <xf numFmtId="9" fontId="6" fillId="0" borderId="1" xfId="2" applyFont="1" applyBorder="1" applyAlignment="1"/>
    <xf numFmtId="9" fontId="0" fillId="0" borderId="0" xfId="2" applyFont="1" applyBorder="1"/>
    <xf numFmtId="0" fontId="0" fillId="0" borderId="1" xfId="0" applyNumberFormat="1" applyFont="1" applyBorder="1" applyAlignment="1"/>
    <xf numFmtId="43" fontId="0" fillId="0" borderId="1" xfId="1" applyFont="1" applyBorder="1" applyAlignment="1"/>
    <xf numFmtId="43" fontId="0" fillId="0" borderId="3" xfId="1" applyFont="1" applyBorder="1" applyAlignment="1"/>
    <xf numFmtId="0" fontId="0" fillId="0" borderId="1" xfId="0" applyFont="1" applyBorder="1" applyAlignment="1"/>
    <xf numFmtId="0" fontId="14" fillId="0" borderId="1" xfId="0" applyNumberFormat="1" applyFont="1" applyBorder="1" applyAlignment="1">
      <alignment vertical="center"/>
    </xf>
    <xf numFmtId="0" fontId="14" fillId="0" borderId="3" xfId="0" applyNumberFormat="1" applyFont="1" applyFill="1" applyBorder="1" applyAlignment="1">
      <alignment vertical="center"/>
    </xf>
    <xf numFmtId="43" fontId="14" fillId="0" borderId="1" xfId="1" applyFont="1" applyBorder="1" applyAlignment="1">
      <alignment vertical="center"/>
    </xf>
    <xf numFmtId="43" fontId="14" fillId="0" borderId="3" xfId="1" applyFont="1" applyFill="1" applyBorder="1" applyAlignment="1">
      <alignment vertical="center"/>
    </xf>
    <xf numFmtId="10" fontId="14" fillId="0" borderId="1" xfId="2" applyNumberFormat="1" applyFont="1" applyBorder="1" applyAlignment="1">
      <alignment vertical="center"/>
    </xf>
    <xf numFmtId="10" fontId="20" fillId="5" borderId="1" xfId="2" applyNumberFormat="1" applyFont="1" applyFill="1" applyBorder="1" applyAlignment="1">
      <alignment vertical="center"/>
    </xf>
    <xf numFmtId="8" fontId="14" fillId="3" borderId="1" xfId="0" applyNumberFormat="1" applyFont="1" applyFill="1" applyBorder="1" applyAlignment="1">
      <alignment vertical="center"/>
    </xf>
    <xf numFmtId="8" fontId="14" fillId="0" borderId="1" xfId="0" applyNumberFormat="1" applyFont="1" applyBorder="1" applyAlignment="1">
      <alignment vertical="center"/>
    </xf>
    <xf numFmtId="2" fontId="14" fillId="0" borderId="1" xfId="2" applyNumberFormat="1" applyFont="1" applyBorder="1" applyAlignment="1">
      <alignment vertical="center"/>
    </xf>
    <xf numFmtId="9" fontId="14" fillId="0" borderId="1" xfId="2" applyFont="1" applyBorder="1" applyAlignment="1">
      <alignment vertical="center"/>
    </xf>
    <xf numFmtId="10" fontId="13" fillId="4" borderId="1" xfId="2" applyNumberFormat="1" applyFont="1" applyFill="1" applyBorder="1" applyAlignment="1">
      <alignment vertical="center"/>
    </xf>
    <xf numFmtId="164" fontId="13" fillId="4" borderId="1" xfId="2" applyNumberFormat="1" applyFont="1" applyFill="1" applyBorder="1" applyAlignment="1">
      <alignment vertical="center"/>
    </xf>
    <xf numFmtId="10" fontId="14" fillId="2" borderId="1" xfId="2" applyNumberFormat="1" applyFont="1" applyFill="1" applyBorder="1" applyAlignment="1">
      <alignment vertical="center"/>
    </xf>
    <xf numFmtId="164" fontId="10" fillId="4" borderId="4" xfId="1" applyNumberFormat="1" applyFont="1" applyFill="1" applyBorder="1" applyAlignment="1"/>
    <xf numFmtId="9" fontId="10" fillId="4" borderId="4" xfId="2" applyFont="1" applyFill="1" applyBorder="1" applyAlignment="1"/>
    <xf numFmtId="0" fontId="0" fillId="0" borderId="0" xfId="0" applyAlignment="1">
      <alignment horizontal="center"/>
    </xf>
    <xf numFmtId="10" fontId="0" fillId="0" borderId="1" xfId="2" applyNumberFormat="1" applyFont="1" applyBorder="1"/>
    <xf numFmtId="43" fontId="6" fillId="0" borderId="1" xfId="1" applyFont="1" applyBorder="1" applyAlignment="1"/>
    <xf numFmtId="164" fontId="10" fillId="4" borderId="1" xfId="1" applyNumberFormat="1" applyFont="1" applyFill="1" applyBorder="1" applyAlignment="1"/>
    <xf numFmtId="9" fontId="10" fillId="4" borderId="1" xfId="2" applyFont="1" applyFill="1" applyBorder="1" applyAlignment="1"/>
    <xf numFmtId="43" fontId="6" fillId="3" borderId="1" xfId="1" applyFont="1" applyFill="1" applyBorder="1" applyAlignment="1"/>
    <xf numFmtId="10" fontId="6" fillId="2" borderId="1" xfId="2" applyNumberFormat="1" applyFont="1" applyFill="1" applyBorder="1" applyAlignment="1"/>
    <xf numFmtId="0" fontId="6" fillId="0" borderId="1" xfId="0" applyFont="1" applyBorder="1" applyAlignment="1">
      <alignment horizontal="center" vertical="center"/>
    </xf>
    <xf numFmtId="43" fontId="10" fillId="0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Font="1" applyBorder="1"/>
    <xf numFmtId="43" fontId="10" fillId="0" borderId="1" xfId="0" applyNumberFormat="1" applyFont="1" applyBorder="1" applyAlignment="1">
      <alignment horizontal="left" vertical="center" wrapText="1"/>
    </xf>
    <xf numFmtId="43" fontId="22" fillId="0" borderId="1" xfId="0" applyNumberFormat="1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164" fontId="6" fillId="4" borderId="1" xfId="2" applyNumberFormat="1" applyFont="1" applyFill="1" applyBorder="1" applyAlignment="1">
      <alignment vertical="center"/>
    </xf>
    <xf numFmtId="10" fontId="6" fillId="4" borderId="1" xfId="2" applyNumberFormat="1" applyFont="1" applyFill="1" applyBorder="1" applyAlignment="1">
      <alignment vertical="center"/>
    </xf>
    <xf numFmtId="8" fontId="0" fillId="0" borderId="1" xfId="0" applyNumberFormat="1" applyFont="1" applyBorder="1"/>
    <xf numFmtId="0" fontId="6" fillId="3" borderId="1" xfId="0" applyFont="1" applyFill="1" applyBorder="1" applyAlignment="1">
      <alignment horizontal="left" vertical="center" wrapText="1"/>
    </xf>
    <xf numFmtId="8" fontId="0" fillId="3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10" fontId="0" fillId="2" borderId="1" xfId="2" applyNumberFormat="1" applyFont="1" applyFill="1" applyBorder="1" applyAlignment="1">
      <alignment vertical="center"/>
    </xf>
    <xf numFmtId="0" fontId="0" fillId="0" borderId="0" xfId="0" applyFont="1"/>
    <xf numFmtId="10" fontId="0" fillId="0" borderId="1" xfId="2" applyNumberFormat="1" applyFont="1" applyBorder="1" applyAlignment="1">
      <alignment vertical="center"/>
    </xf>
    <xf numFmtId="10" fontId="21" fillId="5" borderId="1" xfId="2" applyNumberFormat="1" applyFont="1" applyFill="1" applyBorder="1" applyAlignment="1">
      <alignment vertical="center"/>
    </xf>
    <xf numFmtId="8" fontId="0" fillId="0" borderId="0" xfId="0" applyNumberFormat="1" applyFont="1"/>
    <xf numFmtId="10" fontId="0" fillId="0" borderId="0" xfId="0" applyNumberFormat="1" applyFont="1"/>
    <xf numFmtId="9" fontId="0" fillId="0" borderId="0" xfId="0" applyNumberFormat="1" applyFont="1"/>
    <xf numFmtId="43" fontId="2" fillId="0" borderId="0" xfId="1" applyFont="1"/>
    <xf numFmtId="0" fontId="10" fillId="0" borderId="1" xfId="0" applyFont="1" applyFill="1" applyBorder="1" applyAlignment="1">
      <alignment horizontal="left" vertical="center"/>
    </xf>
    <xf numFmtId="8" fontId="5" fillId="0" borderId="1" xfId="0" applyNumberFormat="1" applyFont="1" applyFill="1" applyBorder="1"/>
    <xf numFmtId="43" fontId="10" fillId="0" borderId="1" xfId="1" applyNumberFormat="1" applyFont="1" applyFill="1" applyBorder="1" applyAlignment="1"/>
    <xf numFmtId="10" fontId="5" fillId="0" borderId="1" xfId="2" applyNumberFormat="1" applyFont="1" applyFill="1" applyBorder="1" applyAlignment="1">
      <alignment vertical="center"/>
    </xf>
    <xf numFmtId="10" fontId="10" fillId="0" borderId="1" xfId="2" applyNumberFormat="1" applyFont="1" applyFill="1" applyBorder="1" applyAlignment="1"/>
    <xf numFmtId="0" fontId="6" fillId="6" borderId="1" xfId="0" applyFont="1" applyFill="1" applyBorder="1" applyAlignment="1">
      <alignment horizontal="left" vertical="center"/>
    </xf>
    <xf numFmtId="10" fontId="6" fillId="6" borderId="1" xfId="0" applyNumberFormat="1" applyFont="1" applyFill="1" applyBorder="1" applyAlignment="1">
      <alignment vertical="center"/>
    </xf>
    <xf numFmtId="10" fontId="6" fillId="6" borderId="1" xfId="2" applyNumberFormat="1" applyFont="1" applyFill="1" applyBorder="1" applyAlignment="1"/>
    <xf numFmtId="10" fontId="6" fillId="6" borderId="1" xfId="1" applyNumberFormat="1" applyFont="1" applyFill="1" applyBorder="1" applyAlignment="1"/>
    <xf numFmtId="10" fontId="6" fillId="6" borderId="1" xfId="2" applyNumberFormat="1" applyFont="1" applyFill="1" applyBorder="1"/>
    <xf numFmtId="43" fontId="6" fillId="6" borderId="1" xfId="1" applyFont="1" applyFill="1" applyBorder="1" applyAlignment="1"/>
    <xf numFmtId="0" fontId="6" fillId="6" borderId="1" xfId="0" applyFont="1" applyFill="1" applyBorder="1"/>
    <xf numFmtId="0" fontId="13" fillId="6" borderId="1" xfId="0" applyFont="1" applyFill="1" applyBorder="1" applyAlignment="1">
      <alignment horizontal="left" vertical="center"/>
    </xf>
    <xf numFmtId="10" fontId="13" fillId="6" borderId="1" xfId="0" applyNumberFormat="1" applyFont="1" applyFill="1" applyBorder="1" applyAlignment="1">
      <alignment vertical="center"/>
    </xf>
    <xf numFmtId="0" fontId="15" fillId="0" borderId="1" xfId="0" applyFont="1" applyFill="1" applyBorder="1" applyAlignment="1">
      <alignment horizontal="left" vertical="center"/>
    </xf>
    <xf numFmtId="43" fontId="19" fillId="0" borderId="1" xfId="1" applyFont="1" applyFill="1" applyBorder="1" applyAlignment="1">
      <alignment vertical="center"/>
    </xf>
    <xf numFmtId="43" fontId="19" fillId="0" borderId="3" xfId="1" applyFont="1" applyFill="1" applyBorder="1" applyAlignment="1">
      <alignment vertical="center"/>
    </xf>
    <xf numFmtId="43" fontId="5" fillId="0" borderId="1" xfId="1" applyFont="1" applyFill="1" applyBorder="1" applyAlignment="1"/>
    <xf numFmtId="43" fontId="10" fillId="0" borderId="4" xfId="1" applyNumberFormat="1" applyFont="1" applyFill="1" applyBorder="1" applyAlignment="1"/>
    <xf numFmtId="10" fontId="19" fillId="0" borderId="1" xfId="2" applyNumberFormat="1" applyFont="1" applyFill="1" applyBorder="1" applyAlignment="1">
      <alignment vertical="center"/>
    </xf>
    <xf numFmtId="10" fontId="13" fillId="6" borderId="1" xfId="2" applyNumberFormat="1" applyFont="1" applyFill="1" applyBorder="1" applyAlignment="1">
      <alignment vertical="center"/>
    </xf>
    <xf numFmtId="10" fontId="6" fillId="6" borderId="4" xfId="1" applyNumberFormat="1" applyFont="1" applyFill="1" applyBorder="1" applyAlignment="1"/>
    <xf numFmtId="43" fontId="6" fillId="6" borderId="4" xfId="1" applyFont="1" applyFill="1" applyBorder="1" applyAlignment="1"/>
    <xf numFmtId="0" fontId="6" fillId="6" borderId="1" xfId="0" applyNumberFormat="1" applyFont="1" applyFill="1" applyBorder="1" applyAlignment="1"/>
    <xf numFmtId="0" fontId="23" fillId="0" borderId="1" xfId="0" applyFont="1" applyBorder="1" applyAlignment="1">
      <alignment horizontal="center" vertical="center"/>
    </xf>
    <xf numFmtId="43" fontId="24" fillId="0" borderId="1" xfId="1" applyFont="1" applyFill="1" applyBorder="1" applyAlignment="1">
      <alignment horizontal="center" vertical="center"/>
    </xf>
    <xf numFmtId="0" fontId="23" fillId="0" borderId="0" xfId="0" applyFont="1"/>
    <xf numFmtId="10" fontId="23" fillId="6" borderId="1" xfId="0" applyNumberFormat="1" applyFont="1" applyFill="1" applyBorder="1" applyAlignment="1">
      <alignment vertical="center"/>
    </xf>
    <xf numFmtId="10" fontId="23" fillId="6" borderId="1" xfId="2" applyNumberFormat="1" applyFont="1" applyFill="1" applyBorder="1" applyAlignment="1"/>
    <xf numFmtId="8" fontId="23" fillId="0" borderId="0" xfId="0" applyNumberFormat="1" applyFont="1"/>
    <xf numFmtId="0" fontId="23" fillId="0" borderId="0" xfId="0" applyFont="1" applyAlignment="1">
      <alignment horizontal="center"/>
    </xf>
    <xf numFmtId="43" fontId="23" fillId="0" borderId="0" xfId="1" applyFont="1"/>
    <xf numFmtId="10" fontId="23" fillId="0" borderId="0" xfId="0" applyNumberFormat="1" applyFont="1"/>
    <xf numFmtId="10" fontId="21" fillId="5" borderId="4" xfId="2" applyNumberFormat="1" applyFont="1" applyFill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/>
    </xf>
    <xf numFmtId="43" fontId="25" fillId="0" borderId="0" xfId="0" applyNumberFormat="1" applyFont="1"/>
    <xf numFmtId="164" fontId="23" fillId="0" borderId="0" xfId="0" applyNumberFormat="1" applyFont="1"/>
    <xf numFmtId="9" fontId="23" fillId="0" borderId="0" xfId="0" applyNumberFormat="1" applyFont="1"/>
    <xf numFmtId="44" fontId="23" fillId="0" borderId="0" xfId="0" applyNumberFormat="1" applyFont="1"/>
    <xf numFmtId="43" fontId="23" fillId="0" borderId="0" xfId="0" applyNumberFormat="1" applyFont="1"/>
    <xf numFmtId="8" fontId="25" fillId="0" borderId="0" xfId="0" applyNumberFormat="1" applyFont="1"/>
    <xf numFmtId="10" fontId="25" fillId="0" borderId="0" xfId="0" applyNumberFormat="1" applyFont="1"/>
    <xf numFmtId="9" fontId="25" fillId="0" borderId="0" xfId="0" applyNumberFormat="1" applyFont="1"/>
    <xf numFmtId="164" fontId="25" fillId="0" borderId="0" xfId="0" applyNumberFormat="1" applyFont="1"/>
    <xf numFmtId="8" fontId="27" fillId="0" borderId="0" xfId="0" applyNumberFormat="1" applyFont="1"/>
    <xf numFmtId="10" fontId="23" fillId="0" borderId="0" xfId="2" applyNumberFormat="1" applyFont="1"/>
    <xf numFmtId="166" fontId="23" fillId="0" borderId="0" xfId="2" applyNumberFormat="1" applyFont="1"/>
    <xf numFmtId="43" fontId="24" fillId="0" borderId="0" xfId="0" applyNumberFormat="1" applyFont="1"/>
    <xf numFmtId="10" fontId="27" fillId="0" borderId="0" xfId="2" applyNumberFormat="1" applyFont="1"/>
    <xf numFmtId="10" fontId="24" fillId="0" borderId="0" xfId="2" applyNumberFormat="1" applyFont="1"/>
    <xf numFmtId="0" fontId="23" fillId="0" borderId="0" xfId="0" applyFont="1" applyAlignment="1"/>
    <xf numFmtId="44" fontId="23" fillId="0" borderId="0" xfId="47" applyNumberFormat="1" applyFont="1"/>
    <xf numFmtId="9" fontId="24" fillId="0" borderId="0" xfId="0" applyNumberFormat="1" applyFont="1"/>
    <xf numFmtId="164" fontId="23" fillId="0" borderId="0" xfId="47" applyNumberFormat="1" applyFont="1"/>
    <xf numFmtId="44" fontId="25" fillId="0" borderId="0" xfId="0" applyNumberFormat="1" applyFont="1"/>
    <xf numFmtId="44" fontId="25" fillId="0" borderId="0" xfId="47" applyFont="1"/>
    <xf numFmtId="10" fontId="23" fillId="0" borderId="0" xfId="2" applyNumberFormat="1" applyFont="1" applyBorder="1" applyAlignment="1">
      <alignment vertical="center"/>
    </xf>
    <xf numFmtId="10" fontId="24" fillId="0" borderId="0" xfId="1" applyNumberFormat="1" applyFont="1" applyBorder="1" applyAlignment="1"/>
    <xf numFmtId="0" fontId="23" fillId="6" borderId="1" xfId="0" applyFont="1" applyFill="1" applyBorder="1" applyAlignment="1">
      <alignment horizontal="left" vertical="top"/>
    </xf>
    <xf numFmtId="43" fontId="27" fillId="0" borderId="1" xfId="0" applyNumberFormat="1" applyFont="1" applyBorder="1" applyAlignment="1">
      <alignment horizontal="left" vertical="top" wrapText="1"/>
    </xf>
    <xf numFmtId="0" fontId="26" fillId="5" borderId="1" xfId="0" applyFont="1" applyFill="1" applyBorder="1" applyAlignment="1">
      <alignment horizontal="left" vertical="top"/>
    </xf>
    <xf numFmtId="0" fontId="23" fillId="0" borderId="1" xfId="0" applyFont="1" applyBorder="1" applyAlignment="1">
      <alignment horizontal="left" vertical="top"/>
    </xf>
    <xf numFmtId="0" fontId="23" fillId="0" borderId="0" xfId="0" applyFont="1" applyBorder="1" applyAlignment="1">
      <alignment horizontal="left" vertical="top"/>
    </xf>
    <xf numFmtId="0" fontId="23" fillId="0" borderId="0" xfId="0" applyFont="1" applyAlignment="1">
      <alignment horizontal="left" vertical="top"/>
    </xf>
    <xf numFmtId="0" fontId="25" fillId="0" borderId="0" xfId="0" applyFont="1" applyAlignment="1">
      <alignment horizontal="left" vertical="top"/>
    </xf>
    <xf numFmtId="0" fontId="28" fillId="0" borderId="1" xfId="0" applyFont="1" applyBorder="1" applyAlignment="1">
      <alignment horizontal="center" vertical="top"/>
    </xf>
    <xf numFmtId="43" fontId="29" fillId="0" borderId="1" xfId="1" applyFont="1" applyFill="1" applyBorder="1" applyAlignment="1">
      <alignment horizontal="center" vertical="center"/>
    </xf>
    <xf numFmtId="0" fontId="28" fillId="0" borderId="0" xfId="0" applyFont="1"/>
    <xf numFmtId="0" fontId="23" fillId="0" borderId="1" xfId="0" applyFont="1" applyFill="1" applyBorder="1" applyAlignment="1">
      <alignment horizontal="left" vertical="top"/>
    </xf>
    <xf numFmtId="0" fontId="23" fillId="0" borderId="1" xfId="0" applyFont="1" applyFill="1" applyBorder="1"/>
    <xf numFmtId="0" fontId="23" fillId="0" borderId="1" xfId="0" applyFont="1" applyFill="1" applyBorder="1" applyAlignment="1">
      <alignment vertical="center"/>
    </xf>
    <xf numFmtId="43" fontId="23" fillId="0" borderId="1" xfId="1" applyFont="1" applyFill="1" applyBorder="1" applyAlignment="1"/>
    <xf numFmtId="164" fontId="26" fillId="5" borderId="1" xfId="2" applyNumberFormat="1" applyFont="1" applyFill="1" applyBorder="1" applyAlignment="1">
      <alignment vertical="center"/>
    </xf>
    <xf numFmtId="164" fontId="26" fillId="5" borderId="1" xfId="1" applyNumberFormat="1" applyFont="1" applyFill="1" applyBorder="1" applyAlignment="1"/>
    <xf numFmtId="10" fontId="26" fillId="5" borderId="1" xfId="2" applyNumberFormat="1" applyFont="1" applyFill="1" applyBorder="1" applyAlignment="1">
      <alignment vertical="center"/>
    </xf>
    <xf numFmtId="9" fontId="26" fillId="5" borderId="1" xfId="2" applyFont="1" applyFill="1" applyBorder="1" applyAlignment="1"/>
    <xf numFmtId="0" fontId="23" fillId="7" borderId="1" xfId="0" applyFont="1" applyFill="1" applyBorder="1" applyAlignment="1">
      <alignment horizontal="left" vertical="top" wrapText="1"/>
    </xf>
    <xf numFmtId="8" fontId="23" fillId="7" borderId="1" xfId="0" applyNumberFormat="1" applyFont="1" applyFill="1" applyBorder="1" applyAlignment="1">
      <alignment vertical="center"/>
    </xf>
    <xf numFmtId="8" fontId="23" fillId="7" borderId="1" xfId="1" applyNumberFormat="1" applyFont="1" applyFill="1" applyBorder="1" applyAlignment="1"/>
    <xf numFmtId="0" fontId="23" fillId="7" borderId="1" xfId="0" applyFont="1" applyFill="1" applyBorder="1" applyAlignment="1">
      <alignment horizontal="left" vertical="top"/>
    </xf>
    <xf numFmtId="10" fontId="23" fillId="7" borderId="1" xfId="2" applyNumberFormat="1" applyFont="1" applyFill="1" applyBorder="1" applyAlignment="1"/>
    <xf numFmtId="8" fontId="23" fillId="7" borderId="1" xfId="0" applyNumberFormat="1" applyFont="1" applyFill="1" applyBorder="1"/>
    <xf numFmtId="8" fontId="23" fillId="0" borderId="1" xfId="0" applyNumberFormat="1" applyFont="1" applyFill="1" applyBorder="1"/>
    <xf numFmtId="8" fontId="23" fillId="0" borderId="1" xfId="0" applyNumberFormat="1" applyFont="1" applyFill="1" applyBorder="1" applyAlignment="1">
      <alignment vertical="center"/>
    </xf>
    <xf numFmtId="8" fontId="23" fillId="0" borderId="1" xfId="1" applyNumberFormat="1" applyFont="1" applyFill="1" applyBorder="1" applyAlignment="1"/>
    <xf numFmtId="10" fontId="23" fillId="7" borderId="1" xfId="2" applyNumberFormat="1" applyFont="1" applyFill="1" applyBorder="1"/>
    <xf numFmtId="10" fontId="23" fillId="7" borderId="1" xfId="1" applyNumberFormat="1" applyFont="1" applyFill="1" applyBorder="1" applyAlignment="1"/>
    <xf numFmtId="43" fontId="23" fillId="6" borderId="1" xfId="1" applyFont="1" applyFill="1" applyBorder="1" applyAlignment="1">
      <alignment horizontal="center" vertical="center"/>
    </xf>
    <xf numFmtId="43" fontId="23" fillId="4" borderId="1" xfId="1" applyFont="1" applyFill="1" applyBorder="1" applyAlignment="1"/>
    <xf numFmtId="43" fontId="23" fillId="4" borderId="1" xfId="0" applyNumberFormat="1" applyFont="1" applyFill="1" applyBorder="1" applyAlignment="1">
      <alignment horizontal="left" vertical="top" wrapText="1"/>
    </xf>
    <xf numFmtId="43" fontId="27" fillId="0" borderId="1" xfId="1" applyFont="1" applyBorder="1" applyAlignment="1"/>
    <xf numFmtId="10" fontId="23" fillId="0" borderId="1" xfId="2" applyNumberFormat="1" applyFont="1" applyFill="1" applyBorder="1" applyAlignment="1">
      <alignment vertical="center"/>
    </xf>
    <xf numFmtId="10" fontId="23" fillId="0" borderId="1" xfId="2" applyNumberFormat="1" applyFont="1" applyFill="1" applyBorder="1" applyAlignment="1"/>
    <xf numFmtId="10" fontId="23" fillId="7" borderId="1" xfId="2" applyNumberFormat="1" applyFont="1" applyFill="1" applyBorder="1" applyAlignment="1">
      <alignment vertical="center"/>
    </xf>
    <xf numFmtId="0" fontId="23" fillId="0" borderId="0" xfId="0" applyFont="1" applyFill="1" applyBorder="1" applyAlignment="1">
      <alignment horizontal="left" vertical="top"/>
    </xf>
    <xf numFmtId="167" fontId="28" fillId="0" borderId="1" xfId="0" applyNumberFormat="1" applyFont="1" applyBorder="1" applyAlignment="1">
      <alignment horizontal="center" vertical="center"/>
    </xf>
    <xf numFmtId="164" fontId="23" fillId="0" borderId="1" xfId="2" applyNumberFormat="1" applyFont="1" applyFill="1" applyBorder="1"/>
    <xf numFmtId="8" fontId="24" fillId="0" borderId="0" xfId="0" applyNumberFormat="1" applyFont="1"/>
    <xf numFmtId="166" fontId="27" fillId="0" borderId="0" xfId="0" applyNumberFormat="1" applyFont="1"/>
    <xf numFmtId="0" fontId="23" fillId="0" borderId="0" xfId="0" applyFont="1" applyAlignment="1">
      <alignment horizontal="center"/>
    </xf>
    <xf numFmtId="43" fontId="23" fillId="0" borderId="1" xfId="1" applyFont="1" applyBorder="1" applyAlignment="1">
      <alignment horizontal="center" vertical="center"/>
    </xf>
    <xf numFmtId="8" fontId="25" fillId="0" borderId="1" xfId="0" applyNumberFormat="1" applyFont="1" applyBorder="1" applyAlignment="1">
      <alignment horizontal="center" vertical="center"/>
    </xf>
    <xf numFmtId="8" fontId="23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8" fontId="23" fillId="0" borderId="0" xfId="1" applyNumberFormat="1" applyFont="1"/>
    <xf numFmtId="8" fontId="23" fillId="0" borderId="0" xfId="47" applyNumberFormat="1" applyFont="1"/>
    <xf numFmtId="9" fontId="23" fillId="0" borderId="0" xfId="2" applyFont="1"/>
    <xf numFmtId="6" fontId="25" fillId="0" borderId="0" xfId="0" applyNumberFormat="1" applyFont="1"/>
    <xf numFmtId="10" fontId="25" fillId="0" borderId="0" xfId="2" applyNumberFormat="1" applyFont="1"/>
    <xf numFmtId="0" fontId="24" fillId="0" borderId="1" xfId="0" applyFont="1" applyFill="1" applyBorder="1" applyAlignment="1">
      <alignment horizontal="left" vertical="top"/>
    </xf>
    <xf numFmtId="10" fontId="24" fillId="0" borderId="1" xfId="2" applyNumberFormat="1" applyFont="1" applyFill="1" applyBorder="1" applyAlignment="1">
      <alignment vertical="center"/>
    </xf>
    <xf numFmtId="10" fontId="24" fillId="0" borderId="1" xfId="2" applyNumberFormat="1" applyFont="1" applyFill="1" applyBorder="1" applyAlignment="1"/>
    <xf numFmtId="0" fontId="24" fillId="0" borderId="0" xfId="0" applyFont="1"/>
    <xf numFmtId="0" fontId="23" fillId="4" borderId="1" xfId="0" applyFont="1" applyFill="1" applyBorder="1" applyAlignment="1">
      <alignment horizontal="left" vertical="top" wrapText="1"/>
    </xf>
    <xf numFmtId="8" fontId="23" fillId="4" borderId="1" xfId="0" applyNumberFormat="1" applyFont="1" applyFill="1" applyBorder="1" applyAlignment="1">
      <alignment vertical="center"/>
    </xf>
    <xf numFmtId="8" fontId="23" fillId="4" borderId="1" xfId="1" applyNumberFormat="1" applyFont="1" applyFill="1" applyBorder="1" applyAlignment="1"/>
    <xf numFmtId="0" fontId="23" fillId="4" borderId="1" xfId="0" applyFont="1" applyFill="1" applyBorder="1" applyAlignment="1">
      <alignment horizontal="left" vertical="top"/>
    </xf>
    <xf numFmtId="10" fontId="23" fillId="4" borderId="1" xfId="0" applyNumberFormat="1" applyFont="1" applyFill="1" applyBorder="1" applyAlignment="1">
      <alignment vertical="center"/>
    </xf>
    <xf numFmtId="10" fontId="23" fillId="4" borderId="1" xfId="2" applyNumberFormat="1" applyFont="1" applyFill="1" applyBorder="1" applyAlignment="1"/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8" fontId="0" fillId="0" borderId="0" xfId="0" applyNumberFormat="1" applyAlignment="1">
      <alignment horizontal="center"/>
    </xf>
    <xf numFmtId="0" fontId="23" fillId="0" borderId="0" xfId="0" applyFont="1" applyAlignment="1">
      <alignment horizontal="center"/>
    </xf>
    <xf numFmtId="4" fontId="23" fillId="0" borderId="0" xfId="0" applyNumberFormat="1" applyFont="1"/>
    <xf numFmtId="169" fontId="23" fillId="0" borderId="0" xfId="0" applyNumberFormat="1" applyFont="1"/>
    <xf numFmtId="4" fontId="25" fillId="0" borderId="0" xfId="0" applyNumberFormat="1" applyFont="1"/>
    <xf numFmtId="169" fontId="25" fillId="0" borderId="0" xfId="0" applyNumberFormat="1" applyFont="1"/>
    <xf numFmtId="10" fontId="24" fillId="0" borderId="0" xfId="0" applyNumberFormat="1" applyFont="1"/>
    <xf numFmtId="43" fontId="23" fillId="6" borderId="1" xfId="0" applyNumberFormat="1" applyFont="1" applyFill="1" applyBorder="1" applyAlignment="1">
      <alignment horizontal="left" vertical="top" wrapText="1"/>
    </xf>
    <xf numFmtId="9" fontId="23" fillId="6" borderId="1" xfId="2" applyFont="1" applyFill="1" applyBorder="1" applyAlignment="1"/>
    <xf numFmtId="0" fontId="23" fillId="0" borderId="0" xfId="0" applyFont="1" applyFill="1"/>
    <xf numFmtId="43" fontId="26" fillId="5" borderId="1" xfId="0" applyNumberFormat="1" applyFont="1" applyFill="1" applyBorder="1" applyAlignment="1">
      <alignment horizontal="left" vertical="top" wrapText="1"/>
    </xf>
    <xf numFmtId="43" fontId="26" fillId="5" borderId="1" xfId="1" applyFont="1" applyFill="1" applyBorder="1" applyAlignment="1"/>
  </cellXfs>
  <cellStyles count="72">
    <cellStyle name="Comma" xfId="1" builtinId="3"/>
    <cellStyle name="Currency" xfId="47" builtinId="4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Normal" xfId="0" builtinId="0"/>
    <cellStyle name="Percent" xfId="2" builtinId="5"/>
  </cellStyles>
  <dxfs count="0"/>
  <tableStyles count="0" defaultTableStyle="TableStyleMedium9" defaultPivotStyle="PivotStyleMedium7"/>
  <colors>
    <mruColors>
      <color rgb="FF00FDFF"/>
      <color rgb="FF73FEFF"/>
      <color rgb="FF0432FF"/>
      <color rgb="FF8EFA00"/>
      <color rgb="FF00FA00"/>
      <color rgb="FF0096FF"/>
      <color rgb="FFFFF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haredStrings" Target="sharedStrings.xml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topLeftCell="A2" zoomScaleNormal="160" workbookViewId="0">
      <selection activeCell="H33" sqref="H33"/>
    </sheetView>
  </sheetViews>
  <sheetFormatPr baseColWidth="10" defaultRowHeight="16" x14ac:dyDescent="0.2"/>
  <cols>
    <col min="1" max="1" width="6.5" style="1" bestFit="1" customWidth="1"/>
    <col min="2" max="2" width="23.33203125" style="1" bestFit="1" customWidth="1"/>
    <col min="3" max="3" width="19.5" style="1" bestFit="1" customWidth="1"/>
    <col min="4" max="4" width="17.5" style="1" bestFit="1" customWidth="1"/>
    <col min="5" max="6" width="14.33203125" style="1" bestFit="1" customWidth="1"/>
    <col min="7" max="7" width="16" style="1" bestFit="1" customWidth="1"/>
    <col min="8" max="8" width="15.6640625" style="1" bestFit="1" customWidth="1"/>
    <col min="9" max="9" width="15.5" style="1" bestFit="1" customWidth="1"/>
    <col min="10" max="16384" width="10.83203125" style="1"/>
  </cols>
  <sheetData>
    <row r="1" spans="1:10" x14ac:dyDescent="0.2">
      <c r="A1" s="279" t="s">
        <v>8</v>
      </c>
      <c r="B1" s="279"/>
      <c r="C1" s="279"/>
      <c r="D1" s="279"/>
      <c r="E1" s="279"/>
      <c r="F1" s="279"/>
      <c r="G1" s="279"/>
      <c r="H1" s="279"/>
      <c r="I1" s="279"/>
      <c r="J1" s="279"/>
    </row>
    <row r="2" spans="1:10" x14ac:dyDescent="0.2">
      <c r="A2" s="2" t="s">
        <v>0</v>
      </c>
      <c r="B2" s="2" t="s">
        <v>1</v>
      </c>
      <c r="C2" s="2" t="s">
        <v>28</v>
      </c>
      <c r="D2" s="2" t="s">
        <v>6</v>
      </c>
      <c r="E2" s="2" t="s">
        <v>5</v>
      </c>
      <c r="F2" s="2" t="s">
        <v>3</v>
      </c>
      <c r="G2" s="2" t="s">
        <v>2</v>
      </c>
      <c r="H2" s="2" t="s">
        <v>4</v>
      </c>
      <c r="I2" s="2" t="s">
        <v>9</v>
      </c>
      <c r="J2" s="2" t="s">
        <v>7</v>
      </c>
    </row>
    <row r="3" spans="1:10" x14ac:dyDescent="0.2">
      <c r="A3" s="1">
        <v>1</v>
      </c>
      <c r="B3" s="1" t="s">
        <v>10</v>
      </c>
      <c r="C3" s="3">
        <v>10000</v>
      </c>
      <c r="D3" s="4">
        <v>5.0000000000000001E-3</v>
      </c>
      <c r="E3" s="5">
        <v>0.02</v>
      </c>
      <c r="F3" s="6">
        <v>0.02</v>
      </c>
      <c r="G3" s="12">
        <v>200</v>
      </c>
      <c r="H3" s="8">
        <v>0</v>
      </c>
      <c r="I3" s="1">
        <v>0</v>
      </c>
      <c r="J3" s="7">
        <v>10200</v>
      </c>
    </row>
    <row r="4" spans="1:10" x14ac:dyDescent="0.2">
      <c r="A4" s="1">
        <v>2</v>
      </c>
      <c r="B4" s="1" t="s">
        <v>11</v>
      </c>
      <c r="C4" s="3">
        <v>10000</v>
      </c>
      <c r="D4" s="4">
        <v>5.0000000000000001E-3</v>
      </c>
      <c r="E4" s="5">
        <v>0.02</v>
      </c>
      <c r="F4" s="6">
        <v>0.02</v>
      </c>
      <c r="G4" s="12">
        <v>200</v>
      </c>
      <c r="H4" s="8">
        <v>0</v>
      </c>
      <c r="I4" s="1">
        <v>0</v>
      </c>
      <c r="J4" s="7">
        <v>10200</v>
      </c>
    </row>
    <row r="5" spans="1:10" x14ac:dyDescent="0.2">
      <c r="A5" s="1">
        <v>3</v>
      </c>
      <c r="B5" s="1" t="s">
        <v>12</v>
      </c>
      <c r="C5" s="3">
        <v>10000</v>
      </c>
      <c r="D5" s="4">
        <v>5.0000000000000001E-3</v>
      </c>
      <c r="E5" s="5">
        <v>0.02</v>
      </c>
      <c r="F5" s="6">
        <v>0.02</v>
      </c>
      <c r="G5" s="12">
        <v>200</v>
      </c>
      <c r="H5" s="8">
        <v>0</v>
      </c>
      <c r="I5" s="1">
        <v>0</v>
      </c>
      <c r="J5" s="7">
        <v>10200</v>
      </c>
    </row>
    <row r="6" spans="1:10" x14ac:dyDescent="0.2">
      <c r="A6" s="1">
        <v>4</v>
      </c>
      <c r="B6" s="1" t="s">
        <v>13</v>
      </c>
      <c r="C6" s="3">
        <v>10000</v>
      </c>
      <c r="D6" s="4">
        <v>5.0000000000000001E-3</v>
      </c>
      <c r="E6" s="5">
        <v>0.02</v>
      </c>
      <c r="F6" s="6">
        <v>0.02</v>
      </c>
      <c r="G6" s="12">
        <v>200</v>
      </c>
      <c r="H6" s="8">
        <v>0</v>
      </c>
      <c r="I6" s="1">
        <v>0</v>
      </c>
      <c r="J6" s="7">
        <v>10200</v>
      </c>
    </row>
    <row r="7" spans="1:10" x14ac:dyDescent="0.2">
      <c r="A7" s="1">
        <v>5</v>
      </c>
      <c r="B7" s="1" t="s">
        <v>14</v>
      </c>
      <c r="C7" s="3">
        <v>10000</v>
      </c>
      <c r="D7" s="4">
        <v>5.0000000000000001E-3</v>
      </c>
      <c r="E7" s="5">
        <v>0.02</v>
      </c>
      <c r="F7" s="6">
        <v>0.02</v>
      </c>
      <c r="G7" s="12">
        <v>200</v>
      </c>
      <c r="H7" s="8">
        <v>0</v>
      </c>
      <c r="I7" s="1">
        <v>0</v>
      </c>
      <c r="J7" s="7">
        <v>10200</v>
      </c>
    </row>
    <row r="8" spans="1:10" x14ac:dyDescent="0.2">
      <c r="A8" s="1">
        <v>6</v>
      </c>
      <c r="B8" s="1" t="s">
        <v>15</v>
      </c>
      <c r="C8" s="3">
        <v>10000</v>
      </c>
      <c r="D8" s="4">
        <v>5.0000000000000001E-3</v>
      </c>
      <c r="E8" s="5">
        <v>0.02</v>
      </c>
      <c r="F8" s="6">
        <v>0</v>
      </c>
      <c r="G8" s="9">
        <v>0</v>
      </c>
      <c r="H8" s="16">
        <v>-5.0000000000000001E-3</v>
      </c>
      <c r="I8" s="7">
        <v>-50</v>
      </c>
      <c r="J8" s="7">
        <v>9950</v>
      </c>
    </row>
    <row r="9" spans="1:10" x14ac:dyDescent="0.2">
      <c r="A9" s="1">
        <v>7</v>
      </c>
      <c r="B9" s="1" t="s">
        <v>16</v>
      </c>
      <c r="C9" s="3">
        <v>10000</v>
      </c>
      <c r="D9" s="4">
        <v>5.0000000000000001E-3</v>
      </c>
      <c r="E9" s="5">
        <v>0.02</v>
      </c>
      <c r="F9" s="6">
        <v>0.02</v>
      </c>
      <c r="G9" s="12">
        <v>200</v>
      </c>
      <c r="H9" s="8">
        <v>0</v>
      </c>
      <c r="I9" s="1">
        <v>0</v>
      </c>
      <c r="J9" s="7">
        <v>10200</v>
      </c>
    </row>
    <row r="10" spans="1:10" x14ac:dyDescent="0.2">
      <c r="A10" s="1">
        <v>8</v>
      </c>
      <c r="B10" s="1" t="s">
        <v>17</v>
      </c>
      <c r="C10" s="3">
        <v>10000</v>
      </c>
      <c r="D10" s="4">
        <v>5.0000000000000001E-3</v>
      </c>
      <c r="E10" s="5">
        <v>0.02</v>
      </c>
      <c r="F10" s="6">
        <v>0.02</v>
      </c>
      <c r="G10" s="12">
        <v>200</v>
      </c>
      <c r="H10" s="8">
        <v>0</v>
      </c>
      <c r="I10" s="1">
        <v>0</v>
      </c>
      <c r="J10" s="7">
        <v>10200</v>
      </c>
    </row>
    <row r="11" spans="1:10" x14ac:dyDescent="0.2">
      <c r="A11" s="1">
        <v>9</v>
      </c>
      <c r="B11" s="1" t="s">
        <v>18</v>
      </c>
      <c r="C11" s="3">
        <v>10000</v>
      </c>
      <c r="D11" s="4">
        <v>5.0000000000000001E-3</v>
      </c>
      <c r="E11" s="5">
        <v>0.02</v>
      </c>
      <c r="F11" s="6">
        <v>0.02</v>
      </c>
      <c r="G11" s="12">
        <v>200</v>
      </c>
      <c r="H11" s="8">
        <v>0</v>
      </c>
      <c r="I11" s="1">
        <v>0</v>
      </c>
      <c r="J11" s="7">
        <v>10200</v>
      </c>
    </row>
    <row r="12" spans="1:10" x14ac:dyDescent="0.2">
      <c r="A12" s="1">
        <v>10</v>
      </c>
      <c r="B12" s="1" t="s">
        <v>19</v>
      </c>
      <c r="C12" s="3">
        <v>10000</v>
      </c>
      <c r="D12" s="4">
        <v>5.0000000000000001E-3</v>
      </c>
      <c r="E12" s="5">
        <v>0.02</v>
      </c>
      <c r="F12" s="6">
        <v>0.02</v>
      </c>
      <c r="G12" s="12">
        <v>200</v>
      </c>
      <c r="H12" s="8">
        <v>0</v>
      </c>
      <c r="I12" s="1">
        <v>0</v>
      </c>
      <c r="J12" s="7">
        <v>10200</v>
      </c>
    </row>
    <row r="13" spans="1:10" x14ac:dyDescent="0.2">
      <c r="A13" s="1">
        <v>11</v>
      </c>
      <c r="B13" s="1" t="s">
        <v>20</v>
      </c>
      <c r="C13" s="3">
        <v>10000</v>
      </c>
      <c r="D13" s="4">
        <v>5.0000000000000001E-3</v>
      </c>
      <c r="E13" s="5">
        <v>0.02</v>
      </c>
      <c r="F13" s="6">
        <v>0</v>
      </c>
      <c r="G13" s="9">
        <v>0</v>
      </c>
      <c r="H13" s="16">
        <v>-5.0000000000000001E-3</v>
      </c>
      <c r="I13" s="7">
        <v>-50</v>
      </c>
      <c r="J13" s="7">
        <v>9950</v>
      </c>
    </row>
    <row r="14" spans="1:10" x14ac:dyDescent="0.2">
      <c r="A14" s="1">
        <v>12</v>
      </c>
      <c r="B14" s="1" t="s">
        <v>21</v>
      </c>
      <c r="C14" s="3">
        <v>10000</v>
      </c>
      <c r="D14" s="4">
        <v>5.0000000000000001E-3</v>
      </c>
      <c r="E14" s="5">
        <v>0.02</v>
      </c>
      <c r="F14" s="6">
        <v>0.02</v>
      </c>
      <c r="G14" s="12">
        <v>200</v>
      </c>
      <c r="H14" s="8">
        <v>0</v>
      </c>
      <c r="I14" s="1">
        <v>0</v>
      </c>
      <c r="J14" s="7">
        <v>10200</v>
      </c>
    </row>
    <row r="15" spans="1:10" x14ac:dyDescent="0.2">
      <c r="A15" s="1">
        <v>13</v>
      </c>
      <c r="B15" s="1" t="s">
        <v>22</v>
      </c>
      <c r="C15" s="3">
        <v>10000</v>
      </c>
      <c r="D15" s="4">
        <v>5.0000000000000001E-3</v>
      </c>
      <c r="E15" s="5">
        <v>0.02</v>
      </c>
      <c r="F15" s="6">
        <v>0.02</v>
      </c>
      <c r="G15" s="12">
        <v>200</v>
      </c>
      <c r="H15" s="8">
        <v>0</v>
      </c>
      <c r="I15" s="1">
        <v>0</v>
      </c>
      <c r="J15" s="7">
        <v>10200</v>
      </c>
    </row>
    <row r="16" spans="1:10" x14ac:dyDescent="0.2">
      <c r="A16" s="1">
        <v>14</v>
      </c>
      <c r="B16" s="1" t="s">
        <v>23</v>
      </c>
      <c r="C16" s="3">
        <v>10000</v>
      </c>
      <c r="D16" s="4">
        <v>5.0000000000000001E-3</v>
      </c>
      <c r="E16" s="5">
        <v>0.02</v>
      </c>
      <c r="F16" s="6">
        <v>0.02</v>
      </c>
      <c r="G16" s="12">
        <v>200</v>
      </c>
      <c r="H16" s="8">
        <v>0</v>
      </c>
      <c r="I16" s="1">
        <v>0</v>
      </c>
      <c r="J16" s="7">
        <v>10200</v>
      </c>
    </row>
    <row r="17" spans="1:10" x14ac:dyDescent="0.2">
      <c r="A17" s="1">
        <v>15</v>
      </c>
      <c r="B17" s="1" t="s">
        <v>24</v>
      </c>
      <c r="C17" s="3">
        <v>10000</v>
      </c>
      <c r="D17" s="4">
        <v>5.0000000000000001E-3</v>
      </c>
      <c r="E17" s="5">
        <v>0.02</v>
      </c>
      <c r="F17" s="6">
        <v>0</v>
      </c>
      <c r="G17" s="9">
        <v>0</v>
      </c>
      <c r="H17" s="16">
        <v>-5.0000000000000001E-3</v>
      </c>
      <c r="I17" s="10">
        <v>-50</v>
      </c>
      <c r="J17" s="7">
        <v>9950</v>
      </c>
    </row>
    <row r="18" spans="1:10" x14ac:dyDescent="0.2">
      <c r="A18" s="1">
        <v>16</v>
      </c>
      <c r="B18" s="1" t="s">
        <v>25</v>
      </c>
      <c r="C18" s="3">
        <v>10000</v>
      </c>
      <c r="D18" s="4">
        <v>5.0000000000000001E-3</v>
      </c>
      <c r="E18" s="5">
        <v>0.02</v>
      </c>
      <c r="F18" s="6">
        <v>0.02</v>
      </c>
      <c r="G18" s="12">
        <v>200</v>
      </c>
      <c r="H18" s="8">
        <v>0</v>
      </c>
      <c r="I18" s="1">
        <v>0</v>
      </c>
      <c r="J18" s="7">
        <v>10200</v>
      </c>
    </row>
    <row r="19" spans="1:10" x14ac:dyDescent="0.2">
      <c r="A19" s="1">
        <v>17</v>
      </c>
      <c r="B19" s="1" t="s">
        <v>26</v>
      </c>
      <c r="C19" s="3">
        <v>10000</v>
      </c>
      <c r="D19" s="4">
        <v>5.0000000000000001E-3</v>
      </c>
      <c r="E19" s="5">
        <v>0.02</v>
      </c>
      <c r="F19" s="6">
        <v>0.02</v>
      </c>
      <c r="G19" s="12">
        <v>200</v>
      </c>
      <c r="H19" s="8">
        <v>0</v>
      </c>
      <c r="I19" s="1">
        <v>0</v>
      </c>
      <c r="J19" s="7">
        <v>10200</v>
      </c>
    </row>
    <row r="20" spans="1:10" x14ac:dyDescent="0.2">
      <c r="A20" s="17" t="s">
        <v>27</v>
      </c>
      <c r="B20" s="18"/>
      <c r="C20" s="19">
        <f t="shared" ref="C20:I20" si="0">SUM(C3:C19)</f>
        <v>170000</v>
      </c>
      <c r="D20" s="20">
        <f t="shared" si="0"/>
        <v>8.5000000000000006E-2</v>
      </c>
      <c r="E20" s="21">
        <f t="shared" si="0"/>
        <v>0.34</v>
      </c>
      <c r="F20" s="15">
        <f t="shared" si="0"/>
        <v>0.27999999999999997</v>
      </c>
      <c r="G20" s="13">
        <f t="shared" si="0"/>
        <v>2800</v>
      </c>
      <c r="H20" s="14">
        <f t="shared" si="0"/>
        <v>-1.4999999999999999E-2</v>
      </c>
      <c r="I20" s="11">
        <f t="shared" si="0"/>
        <v>-150</v>
      </c>
      <c r="J20" s="18">
        <f>SUM(G20+I20)</f>
        <v>2650</v>
      </c>
    </row>
    <row r="22" spans="1:10" x14ac:dyDescent="0.2">
      <c r="A22" s="279" t="s">
        <v>29</v>
      </c>
      <c r="B22" s="279"/>
      <c r="C22" s="279"/>
      <c r="D22" s="279"/>
      <c r="E22" s="279"/>
      <c r="F22" s="279"/>
      <c r="G22" s="279"/>
      <c r="H22" s="279"/>
      <c r="I22" s="279"/>
      <c r="J22" s="279"/>
    </row>
    <row r="23" spans="1:10" x14ac:dyDescent="0.2">
      <c r="A23" s="2" t="s">
        <v>0</v>
      </c>
      <c r="B23" s="2" t="s">
        <v>1</v>
      </c>
      <c r="C23" s="2" t="s">
        <v>28</v>
      </c>
      <c r="D23" s="2" t="s">
        <v>6</v>
      </c>
      <c r="E23" s="2" t="s">
        <v>5</v>
      </c>
      <c r="F23" s="2" t="s">
        <v>3</v>
      </c>
      <c r="G23" s="2" t="s">
        <v>2</v>
      </c>
      <c r="H23" s="2" t="s">
        <v>4</v>
      </c>
      <c r="I23" s="2" t="s">
        <v>9</v>
      </c>
      <c r="J23" s="2" t="s">
        <v>7</v>
      </c>
    </row>
    <row r="24" spans="1:10" x14ac:dyDescent="0.2">
      <c r="A24" s="1">
        <v>1</v>
      </c>
      <c r="B24" s="22" t="s">
        <v>30</v>
      </c>
      <c r="C24" s="23">
        <v>10000</v>
      </c>
      <c r="D24" s="24">
        <v>5.0000000000000001E-3</v>
      </c>
      <c r="E24" s="25">
        <v>0.02</v>
      </c>
      <c r="F24" s="25">
        <v>0.02</v>
      </c>
      <c r="G24" s="26">
        <v>200</v>
      </c>
      <c r="H24" s="22">
        <v>0</v>
      </c>
      <c r="I24" s="22">
        <v>0</v>
      </c>
      <c r="J24" s="23">
        <v>10200</v>
      </c>
    </row>
    <row r="25" spans="1:10" x14ac:dyDescent="0.2">
      <c r="A25" s="1">
        <v>2</v>
      </c>
      <c r="B25" s="22" t="s">
        <v>31</v>
      </c>
      <c r="C25" s="23">
        <v>10000</v>
      </c>
      <c r="D25" s="24">
        <v>5.0000000000000001E-3</v>
      </c>
      <c r="E25" s="25">
        <v>0.02</v>
      </c>
      <c r="F25" s="25">
        <v>0.02</v>
      </c>
      <c r="G25" s="26">
        <v>200</v>
      </c>
      <c r="H25" s="22">
        <v>0</v>
      </c>
      <c r="I25" s="22">
        <v>0</v>
      </c>
      <c r="J25" s="23">
        <v>10200</v>
      </c>
    </row>
    <row r="26" spans="1:10" x14ac:dyDescent="0.2">
      <c r="A26" s="1">
        <v>3</v>
      </c>
      <c r="B26" s="22" t="s">
        <v>32</v>
      </c>
      <c r="C26" s="23">
        <v>10000</v>
      </c>
      <c r="D26" s="24">
        <v>5.0000000000000001E-3</v>
      </c>
      <c r="E26" s="25">
        <v>0.02</v>
      </c>
      <c r="F26" s="25">
        <v>0.02</v>
      </c>
      <c r="G26" s="26">
        <v>200</v>
      </c>
      <c r="H26" s="22">
        <v>0</v>
      </c>
      <c r="I26" s="22">
        <v>0</v>
      </c>
      <c r="J26" s="23">
        <v>10200</v>
      </c>
    </row>
    <row r="27" spans="1:10" x14ac:dyDescent="0.2">
      <c r="A27" s="1">
        <v>4</v>
      </c>
      <c r="B27" s="22" t="s">
        <v>33</v>
      </c>
      <c r="C27" s="23">
        <v>10000</v>
      </c>
      <c r="D27" s="24">
        <v>5.0000000000000001E-3</v>
      </c>
      <c r="E27" s="25">
        <v>0.02</v>
      </c>
      <c r="F27" s="25">
        <v>0.02</v>
      </c>
      <c r="G27" s="26">
        <v>200</v>
      </c>
      <c r="H27" s="22">
        <v>0</v>
      </c>
      <c r="I27" s="22">
        <v>0</v>
      </c>
      <c r="J27" s="23">
        <v>10200</v>
      </c>
    </row>
    <row r="28" spans="1:10" x14ac:dyDescent="0.2">
      <c r="A28" s="1">
        <v>5</v>
      </c>
      <c r="B28" s="22" t="s">
        <v>34</v>
      </c>
      <c r="C28" s="23">
        <v>10000</v>
      </c>
      <c r="D28" s="24">
        <v>5.0000000000000001E-3</v>
      </c>
      <c r="E28" s="25">
        <v>0.02</v>
      </c>
      <c r="F28" s="25">
        <v>0.02</v>
      </c>
      <c r="G28" s="26">
        <v>200</v>
      </c>
      <c r="H28" s="22">
        <v>0</v>
      </c>
      <c r="I28" s="22">
        <v>0</v>
      </c>
      <c r="J28" s="23">
        <v>10200</v>
      </c>
    </row>
    <row r="29" spans="1:10" x14ac:dyDescent="0.2">
      <c r="A29" s="1">
        <v>6</v>
      </c>
      <c r="B29" s="22" t="s">
        <v>35</v>
      </c>
      <c r="C29" s="23">
        <v>10000</v>
      </c>
      <c r="D29" s="24">
        <v>5.0000000000000001E-3</v>
      </c>
      <c r="E29" s="25">
        <v>0.02</v>
      </c>
      <c r="F29" s="25">
        <v>0.02</v>
      </c>
      <c r="G29" s="26">
        <v>200</v>
      </c>
      <c r="H29" s="22">
        <v>0</v>
      </c>
      <c r="I29" s="22">
        <v>0</v>
      </c>
      <c r="J29" s="23">
        <v>10200</v>
      </c>
    </row>
    <row r="30" spans="1:10" x14ac:dyDescent="0.2">
      <c r="A30" s="1">
        <v>7</v>
      </c>
      <c r="B30" s="22" t="s">
        <v>36</v>
      </c>
      <c r="C30" s="23">
        <v>10000</v>
      </c>
      <c r="D30" s="24">
        <v>5.0000000000000001E-3</v>
      </c>
      <c r="E30" s="25">
        <v>0.02</v>
      </c>
      <c r="F30" s="25">
        <v>0.02</v>
      </c>
      <c r="G30" s="26">
        <v>200</v>
      </c>
      <c r="H30" s="22">
        <v>0</v>
      </c>
      <c r="I30" s="22">
        <v>0</v>
      </c>
      <c r="J30" s="23">
        <v>10200</v>
      </c>
    </row>
    <row r="31" spans="1:10" x14ac:dyDescent="0.2">
      <c r="A31" s="1">
        <v>8</v>
      </c>
      <c r="B31" s="22" t="s">
        <v>26</v>
      </c>
      <c r="C31" s="23">
        <v>10000</v>
      </c>
      <c r="D31" s="24">
        <v>5.0000000000000001E-3</v>
      </c>
      <c r="E31" s="25">
        <v>0.02</v>
      </c>
      <c r="F31" s="25">
        <v>0.02</v>
      </c>
      <c r="G31" s="26">
        <v>200</v>
      </c>
      <c r="H31" s="22">
        <v>0</v>
      </c>
      <c r="I31" s="22">
        <v>0</v>
      </c>
      <c r="J31" s="23">
        <v>10200</v>
      </c>
    </row>
    <row r="32" spans="1:10" x14ac:dyDescent="0.2">
      <c r="A32" s="1">
        <v>9</v>
      </c>
      <c r="B32" s="22" t="s">
        <v>37</v>
      </c>
      <c r="C32" s="23">
        <v>10000</v>
      </c>
      <c r="D32" s="24">
        <v>5.0000000000000001E-3</v>
      </c>
      <c r="E32" s="25">
        <v>0.02</v>
      </c>
      <c r="F32" s="25">
        <v>0.02</v>
      </c>
      <c r="G32" s="26">
        <v>200</v>
      </c>
      <c r="H32" s="22">
        <v>0</v>
      </c>
      <c r="I32" s="22">
        <v>0</v>
      </c>
      <c r="J32" s="23">
        <v>10200</v>
      </c>
    </row>
    <row r="33" spans="1:10" x14ac:dyDescent="0.2">
      <c r="A33" s="1">
        <v>10</v>
      </c>
      <c r="B33" s="22" t="s">
        <v>38</v>
      </c>
      <c r="C33" s="23">
        <v>10000</v>
      </c>
      <c r="D33" s="24">
        <v>5.0000000000000001E-3</v>
      </c>
      <c r="E33" s="25">
        <v>0.02</v>
      </c>
      <c r="F33" s="25">
        <v>0.02</v>
      </c>
      <c r="G33" s="26">
        <v>200</v>
      </c>
      <c r="H33" s="22">
        <v>0</v>
      </c>
      <c r="I33" s="22">
        <v>0</v>
      </c>
      <c r="J33" s="23">
        <v>10200</v>
      </c>
    </row>
    <row r="34" spans="1:10" x14ac:dyDescent="0.2">
      <c r="A34" s="1">
        <v>11</v>
      </c>
      <c r="B34" s="22" t="s">
        <v>39</v>
      </c>
      <c r="C34" s="23">
        <v>10000</v>
      </c>
      <c r="D34" s="24">
        <v>5.0000000000000001E-3</v>
      </c>
      <c r="E34" s="25">
        <v>0.02</v>
      </c>
      <c r="F34" s="25">
        <v>0.02</v>
      </c>
      <c r="G34" s="26">
        <v>200</v>
      </c>
      <c r="H34" s="22">
        <v>0</v>
      </c>
      <c r="I34" s="22">
        <v>0</v>
      </c>
      <c r="J34" s="23">
        <v>10200</v>
      </c>
    </row>
    <row r="35" spans="1:10" x14ac:dyDescent="0.2">
      <c r="A35" s="1">
        <v>12</v>
      </c>
      <c r="B35" s="22" t="s">
        <v>11</v>
      </c>
      <c r="C35" s="23">
        <v>10000</v>
      </c>
      <c r="D35" s="24">
        <v>5.0000000000000001E-3</v>
      </c>
      <c r="E35" s="25">
        <v>0.02</v>
      </c>
      <c r="F35" s="22">
        <v>0</v>
      </c>
      <c r="G35" s="27">
        <v>0</v>
      </c>
      <c r="H35" s="24">
        <v>-5.0000000000000001E-3</v>
      </c>
      <c r="I35" s="23">
        <v>-50</v>
      </c>
      <c r="J35" s="23">
        <v>9950</v>
      </c>
    </row>
    <row r="36" spans="1:10" x14ac:dyDescent="0.2">
      <c r="B36" s="28" t="s">
        <v>27</v>
      </c>
      <c r="C36" s="29">
        <f t="shared" ref="C36:I36" si="1">SUM(C24:C35)</f>
        <v>120000</v>
      </c>
      <c r="D36" s="24">
        <f t="shared" si="1"/>
        <v>5.9999999999999991E-2</v>
      </c>
      <c r="E36" s="25">
        <f t="shared" si="1"/>
        <v>0.23999999999999996</v>
      </c>
      <c r="F36" s="30">
        <f t="shared" si="1"/>
        <v>0.21999999999999997</v>
      </c>
      <c r="G36" s="26">
        <f t="shared" si="1"/>
        <v>2200</v>
      </c>
      <c r="H36" s="31">
        <f t="shared" si="1"/>
        <v>-5.0000000000000001E-3</v>
      </c>
      <c r="I36" s="29">
        <f t="shared" si="1"/>
        <v>-50</v>
      </c>
      <c r="J36" s="29">
        <f>G36+I36</f>
        <v>2150</v>
      </c>
    </row>
    <row r="38" spans="1:10" x14ac:dyDescent="0.2">
      <c r="A38" s="279" t="s">
        <v>40</v>
      </c>
      <c r="B38" s="279"/>
      <c r="C38" s="279"/>
      <c r="D38" s="279"/>
      <c r="E38" s="279"/>
      <c r="F38" s="279"/>
      <c r="G38" s="279"/>
      <c r="H38" s="279"/>
      <c r="I38" s="279"/>
      <c r="J38" s="279"/>
    </row>
    <row r="39" spans="1:10" x14ac:dyDescent="0.2">
      <c r="A39" s="2" t="s">
        <v>0</v>
      </c>
      <c r="B39" s="2" t="s">
        <v>1</v>
      </c>
      <c r="C39" s="2" t="s">
        <v>28</v>
      </c>
      <c r="D39" s="2" t="s">
        <v>6</v>
      </c>
      <c r="E39" s="2" t="s">
        <v>5</v>
      </c>
      <c r="F39" s="2" t="s">
        <v>3</v>
      </c>
      <c r="G39" s="2" t="s">
        <v>2</v>
      </c>
      <c r="H39" s="2" t="s">
        <v>4</v>
      </c>
      <c r="I39" s="2" t="s">
        <v>9</v>
      </c>
      <c r="J39" s="2" t="s">
        <v>7</v>
      </c>
    </row>
    <row r="40" spans="1:10" x14ac:dyDescent="0.2">
      <c r="A40" s="1">
        <v>1</v>
      </c>
      <c r="B40" s="22" t="s">
        <v>30</v>
      </c>
      <c r="C40" s="23">
        <v>10000</v>
      </c>
      <c r="D40" s="24">
        <v>5.0000000000000001E-3</v>
      </c>
      <c r="E40" s="25">
        <v>0.02</v>
      </c>
      <c r="F40" s="25">
        <v>0.02</v>
      </c>
      <c r="G40" s="26">
        <v>200</v>
      </c>
      <c r="H40" s="22">
        <v>0</v>
      </c>
      <c r="I40" s="22">
        <v>0</v>
      </c>
      <c r="J40" s="23">
        <v>10200</v>
      </c>
    </row>
    <row r="41" spans="1:10" x14ac:dyDescent="0.2">
      <c r="A41" s="1">
        <v>2</v>
      </c>
      <c r="B41" s="22" t="s">
        <v>10</v>
      </c>
      <c r="C41" s="23">
        <v>10000</v>
      </c>
      <c r="D41" s="24">
        <v>5.0000000000000001E-3</v>
      </c>
      <c r="E41" s="25">
        <v>0.02</v>
      </c>
      <c r="F41" s="25">
        <v>0.02</v>
      </c>
      <c r="G41" s="26">
        <v>200</v>
      </c>
      <c r="H41" s="22">
        <v>0</v>
      </c>
      <c r="I41" s="22">
        <v>0</v>
      </c>
      <c r="J41" s="23">
        <v>10200</v>
      </c>
    </row>
    <row r="42" spans="1:10" x14ac:dyDescent="0.2">
      <c r="A42" s="1">
        <v>3</v>
      </c>
      <c r="B42" s="22" t="s">
        <v>16</v>
      </c>
      <c r="C42" s="23">
        <v>10000</v>
      </c>
      <c r="D42" s="24">
        <v>5.0000000000000001E-3</v>
      </c>
      <c r="E42" s="25">
        <v>0.02</v>
      </c>
      <c r="F42" s="25">
        <v>0.02</v>
      </c>
      <c r="G42" s="26">
        <v>200</v>
      </c>
      <c r="H42" s="22">
        <v>0</v>
      </c>
      <c r="I42" s="22">
        <v>0</v>
      </c>
      <c r="J42" s="23">
        <v>10200</v>
      </c>
    </row>
    <row r="43" spans="1:10" x14ac:dyDescent="0.2">
      <c r="A43" s="1">
        <v>4</v>
      </c>
      <c r="B43" s="22" t="s">
        <v>17</v>
      </c>
      <c r="C43" s="23">
        <v>10000</v>
      </c>
      <c r="D43" s="24">
        <v>5.0000000000000001E-3</v>
      </c>
      <c r="E43" s="25">
        <v>0.02</v>
      </c>
      <c r="F43" s="25">
        <v>0.02</v>
      </c>
      <c r="G43" s="26">
        <v>200</v>
      </c>
      <c r="H43" s="22">
        <v>0</v>
      </c>
      <c r="I43" s="22">
        <v>0</v>
      </c>
      <c r="J43" s="23">
        <v>10200</v>
      </c>
    </row>
    <row r="44" spans="1:10" x14ac:dyDescent="0.2">
      <c r="A44" s="1">
        <v>5</v>
      </c>
      <c r="B44" s="22" t="s">
        <v>15</v>
      </c>
      <c r="C44" s="23">
        <v>10000</v>
      </c>
      <c r="D44" s="24">
        <v>5.0000000000000001E-3</v>
      </c>
      <c r="E44" s="25">
        <v>0.02</v>
      </c>
      <c r="F44" s="25">
        <v>0.02</v>
      </c>
      <c r="G44" s="26">
        <v>200</v>
      </c>
      <c r="H44" s="22">
        <v>0</v>
      </c>
      <c r="I44" s="22">
        <v>0</v>
      </c>
      <c r="J44" s="23">
        <v>10200</v>
      </c>
    </row>
    <row r="45" spans="1:10" x14ac:dyDescent="0.2">
      <c r="A45" s="1">
        <v>6</v>
      </c>
      <c r="B45" s="22" t="s">
        <v>14</v>
      </c>
      <c r="C45" s="23">
        <v>10000</v>
      </c>
      <c r="D45" s="24">
        <v>5.0000000000000001E-3</v>
      </c>
      <c r="E45" s="25">
        <v>0.02</v>
      </c>
      <c r="F45" s="25">
        <v>0.02</v>
      </c>
      <c r="G45" s="26">
        <v>200</v>
      </c>
      <c r="H45" s="22">
        <v>0</v>
      </c>
      <c r="I45" s="22">
        <v>0</v>
      </c>
      <c r="J45" s="23">
        <v>10200</v>
      </c>
    </row>
    <row r="46" spans="1:10" x14ac:dyDescent="0.2">
      <c r="A46" s="1">
        <v>7</v>
      </c>
      <c r="B46" s="22" t="s">
        <v>11</v>
      </c>
      <c r="C46" s="23">
        <v>10000</v>
      </c>
      <c r="D46" s="24">
        <v>5.0000000000000001E-3</v>
      </c>
      <c r="E46" s="25">
        <v>0.02</v>
      </c>
      <c r="F46" s="25">
        <v>0.02</v>
      </c>
      <c r="G46" s="26">
        <v>200</v>
      </c>
      <c r="H46" s="22">
        <v>0</v>
      </c>
      <c r="I46" s="22">
        <v>0</v>
      </c>
      <c r="J46" s="23">
        <v>10200</v>
      </c>
    </row>
    <row r="47" spans="1:10" x14ac:dyDescent="0.2">
      <c r="A47" s="1">
        <v>8</v>
      </c>
      <c r="B47" s="22" t="s">
        <v>25</v>
      </c>
      <c r="C47" s="23">
        <v>10000</v>
      </c>
      <c r="D47" s="24">
        <v>5.0000000000000001E-3</v>
      </c>
      <c r="E47" s="25">
        <v>0.02</v>
      </c>
      <c r="F47" s="25">
        <v>0.02</v>
      </c>
      <c r="G47" s="26">
        <v>200</v>
      </c>
      <c r="H47" s="22">
        <v>0</v>
      </c>
      <c r="I47" s="22">
        <v>0</v>
      </c>
      <c r="J47" s="23">
        <v>10200</v>
      </c>
    </row>
    <row r="48" spans="1:10" x14ac:dyDescent="0.2">
      <c r="A48" s="1">
        <v>9</v>
      </c>
      <c r="B48" s="22" t="s">
        <v>19</v>
      </c>
      <c r="C48" s="23">
        <v>10000</v>
      </c>
      <c r="D48" s="24">
        <v>5.0000000000000001E-3</v>
      </c>
      <c r="E48" s="25">
        <v>0.02</v>
      </c>
      <c r="F48" s="25">
        <v>0.02</v>
      </c>
      <c r="G48" s="26">
        <v>200</v>
      </c>
      <c r="H48" s="22">
        <v>0</v>
      </c>
      <c r="I48" s="22">
        <v>0</v>
      </c>
      <c r="J48" s="23">
        <v>10200</v>
      </c>
    </row>
    <row r="49" spans="1:10" x14ac:dyDescent="0.2">
      <c r="A49" s="1">
        <v>10</v>
      </c>
      <c r="B49" s="22" t="s">
        <v>20</v>
      </c>
      <c r="C49" s="23">
        <v>10000</v>
      </c>
      <c r="D49" s="24">
        <v>5.0000000000000001E-3</v>
      </c>
      <c r="E49" s="25">
        <v>0.02</v>
      </c>
      <c r="F49" s="25">
        <v>0.02</v>
      </c>
      <c r="G49" s="26">
        <v>200</v>
      </c>
      <c r="H49" s="22">
        <v>0</v>
      </c>
      <c r="I49" s="22">
        <v>0</v>
      </c>
      <c r="J49" s="23">
        <v>10200</v>
      </c>
    </row>
    <row r="50" spans="1:10" x14ac:dyDescent="0.2">
      <c r="A50" s="1">
        <v>11</v>
      </c>
      <c r="B50" s="22" t="s">
        <v>18</v>
      </c>
      <c r="C50" s="23">
        <v>10000</v>
      </c>
      <c r="D50" s="24">
        <v>5.0000000000000001E-3</v>
      </c>
      <c r="E50" s="25">
        <v>0.02</v>
      </c>
      <c r="F50" s="25">
        <v>0.02</v>
      </c>
      <c r="G50" s="26">
        <v>200</v>
      </c>
      <c r="H50" s="22">
        <v>0</v>
      </c>
      <c r="I50" s="22">
        <v>0</v>
      </c>
      <c r="J50" s="23">
        <v>10200</v>
      </c>
    </row>
    <row r="51" spans="1:10" x14ac:dyDescent="0.2">
      <c r="A51" s="1">
        <v>12</v>
      </c>
      <c r="B51" s="22" t="s">
        <v>32</v>
      </c>
      <c r="C51" s="23">
        <v>10000</v>
      </c>
      <c r="D51" s="24">
        <v>5.0000000000000001E-3</v>
      </c>
      <c r="E51" s="25">
        <v>0.02</v>
      </c>
      <c r="F51" s="25">
        <v>0.02</v>
      </c>
      <c r="G51" s="26">
        <v>200</v>
      </c>
      <c r="H51" s="22">
        <v>0</v>
      </c>
      <c r="I51" s="22">
        <v>0</v>
      </c>
      <c r="J51" s="23">
        <v>10200</v>
      </c>
    </row>
    <row r="52" spans="1:10" x14ac:dyDescent="0.2">
      <c r="A52" s="1">
        <v>13</v>
      </c>
      <c r="B52" s="22" t="s">
        <v>12</v>
      </c>
      <c r="C52" s="23">
        <v>10000</v>
      </c>
      <c r="D52" s="24">
        <v>5.0000000000000001E-3</v>
      </c>
      <c r="E52" s="25">
        <v>0.02</v>
      </c>
      <c r="F52" s="25">
        <v>0.02</v>
      </c>
      <c r="G52" s="26">
        <v>200</v>
      </c>
      <c r="H52" s="22">
        <v>0</v>
      </c>
      <c r="I52" s="22">
        <v>0</v>
      </c>
      <c r="J52" s="23">
        <v>10200</v>
      </c>
    </row>
    <row r="53" spans="1:10" x14ac:dyDescent="0.2">
      <c r="A53" s="1">
        <v>14</v>
      </c>
      <c r="B53" s="22" t="s">
        <v>13</v>
      </c>
      <c r="C53" s="23">
        <v>10000</v>
      </c>
      <c r="D53" s="24">
        <v>5.0000000000000001E-3</v>
      </c>
      <c r="E53" s="25">
        <v>0.02</v>
      </c>
      <c r="F53" s="25">
        <v>0.02</v>
      </c>
      <c r="G53" s="26">
        <v>200</v>
      </c>
      <c r="H53" s="22">
        <v>0</v>
      </c>
      <c r="I53" s="22">
        <v>0</v>
      </c>
      <c r="J53" s="23">
        <v>10200</v>
      </c>
    </row>
    <row r="54" spans="1:10" x14ac:dyDescent="0.2">
      <c r="A54" s="1">
        <v>15</v>
      </c>
      <c r="B54" s="22" t="s">
        <v>34</v>
      </c>
      <c r="C54" s="23">
        <v>10000</v>
      </c>
      <c r="D54" s="24">
        <v>5.0000000000000001E-3</v>
      </c>
      <c r="E54" s="25">
        <v>0.02</v>
      </c>
      <c r="F54" s="25">
        <v>0.02</v>
      </c>
      <c r="G54" s="26">
        <v>200</v>
      </c>
      <c r="H54" s="22">
        <v>0</v>
      </c>
      <c r="I54" s="22">
        <v>0</v>
      </c>
      <c r="J54" s="23">
        <v>10200</v>
      </c>
    </row>
    <row r="55" spans="1:10" x14ac:dyDescent="0.2">
      <c r="A55" s="1">
        <v>16</v>
      </c>
      <c r="B55" s="22" t="s">
        <v>31</v>
      </c>
      <c r="C55" s="23">
        <v>10000</v>
      </c>
      <c r="D55" s="24">
        <v>5.0000000000000001E-3</v>
      </c>
      <c r="E55" s="25">
        <v>0.02</v>
      </c>
      <c r="F55" s="25">
        <v>0.02</v>
      </c>
      <c r="G55" s="26">
        <v>200</v>
      </c>
      <c r="H55" s="22">
        <v>0</v>
      </c>
      <c r="I55" s="22">
        <v>0</v>
      </c>
      <c r="J55" s="23">
        <v>10200</v>
      </c>
    </row>
    <row r="56" spans="1:10" x14ac:dyDescent="0.2">
      <c r="B56" s="28" t="s">
        <v>27</v>
      </c>
      <c r="C56" s="29">
        <f t="shared" ref="C56:I56" si="2">SUM(C40:C55)</f>
        <v>160000</v>
      </c>
      <c r="D56" s="24">
        <f t="shared" si="2"/>
        <v>0.08</v>
      </c>
      <c r="E56" s="25">
        <f t="shared" si="2"/>
        <v>0.32</v>
      </c>
      <c r="F56" s="30">
        <f t="shared" si="2"/>
        <v>0.32</v>
      </c>
      <c r="G56" s="26">
        <f t="shared" si="2"/>
        <v>3200</v>
      </c>
      <c r="H56" s="30">
        <f t="shared" si="2"/>
        <v>0</v>
      </c>
      <c r="I56" s="22">
        <f t="shared" si="2"/>
        <v>0</v>
      </c>
      <c r="J56" s="23">
        <f>G56+I56</f>
        <v>3200</v>
      </c>
    </row>
    <row r="58" spans="1:10" x14ac:dyDescent="0.2">
      <c r="A58" s="279" t="s">
        <v>41</v>
      </c>
      <c r="B58" s="279"/>
      <c r="C58" s="279"/>
      <c r="D58" s="279"/>
      <c r="E58" s="279"/>
      <c r="F58" s="279"/>
      <c r="G58" s="279"/>
      <c r="H58" s="279"/>
      <c r="I58" s="279"/>
      <c r="J58" s="279"/>
    </row>
    <row r="59" spans="1:10" x14ac:dyDescent="0.2">
      <c r="A59" s="2" t="s">
        <v>0</v>
      </c>
      <c r="B59" s="2" t="s">
        <v>1</v>
      </c>
      <c r="C59" s="2" t="s">
        <v>28</v>
      </c>
      <c r="D59" s="2" t="s">
        <v>6</v>
      </c>
      <c r="E59" s="2" t="s">
        <v>5</v>
      </c>
      <c r="F59" s="2" t="s">
        <v>3</v>
      </c>
      <c r="G59" s="2" t="s">
        <v>2</v>
      </c>
      <c r="H59" s="2" t="s">
        <v>4</v>
      </c>
      <c r="I59" s="2" t="s">
        <v>9</v>
      </c>
      <c r="J59" s="2" t="s">
        <v>7</v>
      </c>
    </row>
    <row r="60" spans="1:10" x14ac:dyDescent="0.2">
      <c r="A60" s="1">
        <v>1</v>
      </c>
      <c r="B60" s="22" t="s">
        <v>30</v>
      </c>
      <c r="C60" s="23">
        <v>10000</v>
      </c>
      <c r="D60" s="24">
        <v>5.0000000000000001E-3</v>
      </c>
      <c r="E60" s="25">
        <v>0.02</v>
      </c>
      <c r="F60" s="25">
        <v>0.02</v>
      </c>
      <c r="G60" s="26">
        <v>200</v>
      </c>
      <c r="H60" s="22">
        <v>0</v>
      </c>
      <c r="I60" s="22">
        <v>0</v>
      </c>
      <c r="J60" s="23">
        <v>10200</v>
      </c>
    </row>
    <row r="61" spans="1:10" x14ac:dyDescent="0.2">
      <c r="A61" s="1">
        <v>2</v>
      </c>
      <c r="B61" s="22" t="s">
        <v>10</v>
      </c>
      <c r="C61" s="23">
        <v>10000</v>
      </c>
      <c r="D61" s="24">
        <v>5.0000000000000001E-3</v>
      </c>
      <c r="E61" s="25">
        <v>0.02</v>
      </c>
      <c r="F61" s="25">
        <v>0.02</v>
      </c>
      <c r="G61" s="26">
        <v>200</v>
      </c>
      <c r="H61" s="22">
        <v>0</v>
      </c>
      <c r="I61" s="22">
        <v>0</v>
      </c>
      <c r="J61" s="23">
        <v>10200</v>
      </c>
    </row>
    <row r="62" spans="1:10" x14ac:dyDescent="0.2">
      <c r="A62" s="1">
        <v>3</v>
      </c>
      <c r="B62" s="22" t="s">
        <v>16</v>
      </c>
      <c r="C62" s="23">
        <v>10000</v>
      </c>
      <c r="D62" s="24">
        <v>5.0000000000000001E-3</v>
      </c>
      <c r="E62" s="25">
        <v>0.02</v>
      </c>
      <c r="F62" s="25">
        <v>0.02</v>
      </c>
      <c r="G62" s="26">
        <v>200</v>
      </c>
      <c r="H62" s="22">
        <v>0</v>
      </c>
      <c r="I62" s="22">
        <v>0</v>
      </c>
      <c r="J62" s="23">
        <v>10200</v>
      </c>
    </row>
    <row r="63" spans="1:10" x14ac:dyDescent="0.2">
      <c r="A63" s="1">
        <v>4</v>
      </c>
      <c r="B63" s="22" t="s">
        <v>11</v>
      </c>
      <c r="C63" s="23">
        <v>10000</v>
      </c>
      <c r="D63" s="24">
        <v>5.0000000000000001E-3</v>
      </c>
      <c r="E63" s="25">
        <v>0.02</v>
      </c>
      <c r="F63" s="25">
        <v>0.02</v>
      </c>
      <c r="G63" s="26">
        <v>200</v>
      </c>
      <c r="H63" s="22">
        <v>0</v>
      </c>
      <c r="I63" s="22">
        <v>0</v>
      </c>
      <c r="J63" s="23">
        <v>10200</v>
      </c>
    </row>
    <row r="64" spans="1:10" x14ac:dyDescent="0.2">
      <c r="A64" s="1">
        <v>5</v>
      </c>
      <c r="B64" s="22" t="s">
        <v>14</v>
      </c>
      <c r="C64" s="23">
        <v>10000</v>
      </c>
      <c r="D64" s="24">
        <v>5.0000000000000001E-3</v>
      </c>
      <c r="E64" s="25">
        <v>0.02</v>
      </c>
      <c r="F64" s="25">
        <v>0.02</v>
      </c>
      <c r="G64" s="26">
        <v>200</v>
      </c>
      <c r="H64" s="22">
        <v>0</v>
      </c>
      <c r="I64" s="22">
        <v>0</v>
      </c>
      <c r="J64" s="23">
        <v>10200</v>
      </c>
    </row>
    <row r="65" spans="1:10" x14ac:dyDescent="0.2">
      <c r="A65" s="1">
        <v>6</v>
      </c>
      <c r="B65" s="22" t="s">
        <v>17</v>
      </c>
      <c r="C65" s="23">
        <v>10000</v>
      </c>
      <c r="D65" s="24">
        <v>5.0000000000000001E-3</v>
      </c>
      <c r="E65" s="25">
        <v>0.02</v>
      </c>
      <c r="F65" s="25">
        <v>0.02</v>
      </c>
      <c r="G65" s="26">
        <v>200</v>
      </c>
      <c r="H65" s="22">
        <v>0</v>
      </c>
      <c r="I65" s="22">
        <v>0</v>
      </c>
      <c r="J65" s="23">
        <v>10200</v>
      </c>
    </row>
    <row r="66" spans="1:10" x14ac:dyDescent="0.2">
      <c r="A66" s="1">
        <v>7</v>
      </c>
      <c r="B66" s="22" t="s">
        <v>15</v>
      </c>
      <c r="C66" s="23">
        <v>10000</v>
      </c>
      <c r="D66" s="24">
        <v>5.0000000000000001E-3</v>
      </c>
      <c r="E66" s="25">
        <v>0.02</v>
      </c>
      <c r="F66" s="25">
        <v>0.02</v>
      </c>
      <c r="G66" s="26">
        <v>200</v>
      </c>
      <c r="H66" s="22">
        <v>0</v>
      </c>
      <c r="I66" s="22">
        <v>0</v>
      </c>
      <c r="J66" s="23">
        <v>10200</v>
      </c>
    </row>
    <row r="67" spans="1:10" x14ac:dyDescent="0.2">
      <c r="A67" s="1">
        <v>8</v>
      </c>
      <c r="B67" s="22" t="s">
        <v>25</v>
      </c>
      <c r="C67" s="23">
        <v>10000</v>
      </c>
      <c r="D67" s="24">
        <v>5.0000000000000001E-3</v>
      </c>
      <c r="E67" s="25">
        <v>0.02</v>
      </c>
      <c r="F67" s="25">
        <v>0.02</v>
      </c>
      <c r="G67" s="26">
        <v>200</v>
      </c>
      <c r="H67" s="22">
        <v>0</v>
      </c>
      <c r="I67" s="22">
        <v>0</v>
      </c>
      <c r="J67" s="23">
        <v>10200</v>
      </c>
    </row>
    <row r="68" spans="1:10" x14ac:dyDescent="0.2">
      <c r="A68" s="1">
        <v>9</v>
      </c>
      <c r="B68" s="22" t="s">
        <v>19</v>
      </c>
      <c r="C68" s="23">
        <v>10000</v>
      </c>
      <c r="D68" s="24">
        <v>5.0000000000000001E-3</v>
      </c>
      <c r="E68" s="25">
        <v>0.02</v>
      </c>
      <c r="F68" s="25">
        <v>0.02</v>
      </c>
      <c r="G68" s="26">
        <v>200</v>
      </c>
      <c r="H68" s="22">
        <v>0</v>
      </c>
      <c r="I68" s="22">
        <v>0</v>
      </c>
      <c r="J68" s="23">
        <v>10200</v>
      </c>
    </row>
    <row r="69" spans="1:10" x14ac:dyDescent="0.2">
      <c r="A69" s="1">
        <v>10</v>
      </c>
      <c r="B69" s="22" t="s">
        <v>18</v>
      </c>
      <c r="C69" s="23">
        <v>10000</v>
      </c>
      <c r="D69" s="24">
        <v>5.0000000000000001E-3</v>
      </c>
      <c r="E69" s="25">
        <v>0.02</v>
      </c>
      <c r="F69" s="25">
        <v>0.02</v>
      </c>
      <c r="G69" s="26">
        <v>200</v>
      </c>
      <c r="H69" s="22">
        <v>0</v>
      </c>
      <c r="I69" s="22">
        <v>0</v>
      </c>
      <c r="J69" s="23">
        <v>10200</v>
      </c>
    </row>
    <row r="70" spans="1:10" x14ac:dyDescent="0.2">
      <c r="A70" s="1">
        <v>11</v>
      </c>
      <c r="B70" s="22" t="s">
        <v>20</v>
      </c>
      <c r="C70" s="23">
        <v>10000</v>
      </c>
      <c r="D70" s="24">
        <v>5.0000000000000001E-3</v>
      </c>
      <c r="E70" s="25">
        <v>0.02</v>
      </c>
      <c r="F70" s="25">
        <v>0.02</v>
      </c>
      <c r="G70" s="26">
        <v>200</v>
      </c>
      <c r="H70" s="22">
        <v>0</v>
      </c>
      <c r="I70" s="22">
        <v>0</v>
      </c>
      <c r="J70" s="23">
        <v>10200</v>
      </c>
    </row>
    <row r="71" spans="1:10" x14ac:dyDescent="0.2">
      <c r="A71" s="1">
        <v>12</v>
      </c>
      <c r="B71" s="22" t="s">
        <v>32</v>
      </c>
      <c r="C71" s="23">
        <v>10000</v>
      </c>
      <c r="D71" s="24">
        <v>5.0000000000000001E-3</v>
      </c>
      <c r="E71" s="25">
        <v>0.02</v>
      </c>
      <c r="F71" s="25">
        <v>0.02</v>
      </c>
      <c r="G71" s="26">
        <v>200</v>
      </c>
      <c r="H71" s="22">
        <v>0</v>
      </c>
      <c r="I71" s="22">
        <v>0</v>
      </c>
      <c r="J71" s="23">
        <v>10200</v>
      </c>
    </row>
    <row r="72" spans="1:10" x14ac:dyDescent="0.2">
      <c r="A72" s="1">
        <v>13</v>
      </c>
      <c r="B72" s="22" t="s">
        <v>34</v>
      </c>
      <c r="C72" s="23">
        <v>10000</v>
      </c>
      <c r="D72" s="24">
        <v>5.0000000000000001E-3</v>
      </c>
      <c r="E72" s="25">
        <v>0.02</v>
      </c>
      <c r="F72" s="25">
        <v>0.02</v>
      </c>
      <c r="G72" s="26">
        <v>200</v>
      </c>
      <c r="H72" s="22">
        <v>0</v>
      </c>
      <c r="I72" s="22">
        <v>0</v>
      </c>
      <c r="J72" s="23">
        <v>10200</v>
      </c>
    </row>
    <row r="73" spans="1:10" x14ac:dyDescent="0.2">
      <c r="A73" s="1">
        <v>14</v>
      </c>
      <c r="B73" s="22" t="s">
        <v>31</v>
      </c>
      <c r="C73" s="23">
        <v>10000</v>
      </c>
      <c r="D73" s="24">
        <v>5.0000000000000001E-3</v>
      </c>
      <c r="E73" s="25">
        <v>0.02</v>
      </c>
      <c r="F73" s="25">
        <v>0.02</v>
      </c>
      <c r="G73" s="26">
        <v>200</v>
      </c>
      <c r="H73" s="22">
        <v>0</v>
      </c>
      <c r="I73" s="22">
        <v>0</v>
      </c>
      <c r="J73" s="23">
        <v>10200</v>
      </c>
    </row>
    <row r="74" spans="1:10" x14ac:dyDescent="0.2">
      <c r="A74" s="1">
        <v>15</v>
      </c>
      <c r="B74" s="22" t="s">
        <v>12</v>
      </c>
      <c r="C74" s="23">
        <v>10000</v>
      </c>
      <c r="D74" s="24">
        <v>5.0000000000000001E-3</v>
      </c>
      <c r="E74" s="25">
        <v>0.02</v>
      </c>
      <c r="F74" s="25">
        <v>0.02</v>
      </c>
      <c r="G74" s="26">
        <v>200</v>
      </c>
      <c r="H74" s="22">
        <v>0</v>
      </c>
      <c r="I74" s="22">
        <v>0</v>
      </c>
      <c r="J74" s="23">
        <v>10200</v>
      </c>
    </row>
    <row r="75" spans="1:10" x14ac:dyDescent="0.2">
      <c r="A75" s="1">
        <v>16</v>
      </c>
      <c r="B75" s="22" t="s">
        <v>13</v>
      </c>
      <c r="C75" s="23">
        <v>10000</v>
      </c>
      <c r="D75" s="24">
        <v>5.0000000000000001E-3</v>
      </c>
      <c r="E75" s="25">
        <v>0.02</v>
      </c>
      <c r="F75" s="25">
        <v>0.02</v>
      </c>
      <c r="G75" s="26">
        <v>200</v>
      </c>
      <c r="H75" s="22">
        <v>0</v>
      </c>
      <c r="I75" s="22">
        <v>0</v>
      </c>
      <c r="J75" s="23">
        <v>10200</v>
      </c>
    </row>
    <row r="76" spans="1:10" x14ac:dyDescent="0.2">
      <c r="A76" s="1">
        <v>17</v>
      </c>
      <c r="B76" s="22" t="s">
        <v>26</v>
      </c>
      <c r="C76" s="23">
        <v>10000</v>
      </c>
      <c r="D76" s="24">
        <v>5.0000000000000001E-3</v>
      </c>
      <c r="E76" s="25">
        <v>0.02</v>
      </c>
      <c r="F76" s="25">
        <v>0.02</v>
      </c>
      <c r="G76" s="26">
        <v>200</v>
      </c>
      <c r="H76" s="22">
        <v>0</v>
      </c>
      <c r="I76" s="22">
        <v>0</v>
      </c>
      <c r="J76" s="23">
        <v>10200</v>
      </c>
    </row>
    <row r="77" spans="1:10" x14ac:dyDescent="0.2">
      <c r="A77" s="1">
        <v>18</v>
      </c>
      <c r="B77" s="22" t="s">
        <v>33</v>
      </c>
      <c r="C77" s="23">
        <v>10000</v>
      </c>
      <c r="D77" s="24">
        <v>5.0000000000000001E-3</v>
      </c>
      <c r="E77" s="25">
        <v>0.02</v>
      </c>
      <c r="F77" s="25">
        <v>0.02</v>
      </c>
      <c r="G77" s="26">
        <v>200</v>
      </c>
      <c r="H77" s="22">
        <v>0</v>
      </c>
      <c r="I77" s="22">
        <v>0</v>
      </c>
      <c r="J77" s="23">
        <v>10200</v>
      </c>
    </row>
    <row r="78" spans="1:10" x14ac:dyDescent="0.2">
      <c r="A78" s="1">
        <v>19</v>
      </c>
      <c r="B78" s="22" t="s">
        <v>35</v>
      </c>
      <c r="C78" s="23">
        <v>10000</v>
      </c>
      <c r="D78" s="24">
        <v>5.0000000000000001E-3</v>
      </c>
      <c r="E78" s="25">
        <v>0.02</v>
      </c>
      <c r="F78" s="25">
        <v>0.02</v>
      </c>
      <c r="G78" s="26">
        <v>200</v>
      </c>
      <c r="H78" s="22">
        <v>0</v>
      </c>
      <c r="I78" s="22">
        <v>0</v>
      </c>
      <c r="J78" s="23">
        <v>10200</v>
      </c>
    </row>
    <row r="79" spans="1:10" x14ac:dyDescent="0.2">
      <c r="A79" s="1">
        <v>20</v>
      </c>
      <c r="B79" s="22" t="s">
        <v>36</v>
      </c>
      <c r="C79" s="23">
        <v>10000</v>
      </c>
      <c r="D79" s="24">
        <v>5.0000000000000001E-3</v>
      </c>
      <c r="E79" s="25">
        <v>0.02</v>
      </c>
      <c r="F79" s="25">
        <v>0</v>
      </c>
      <c r="G79" s="23">
        <v>0</v>
      </c>
      <c r="H79" s="24">
        <v>-5.0000000000000001E-3</v>
      </c>
      <c r="I79" s="23">
        <v>-50</v>
      </c>
      <c r="J79" s="23">
        <v>9950</v>
      </c>
    </row>
    <row r="80" spans="1:10" x14ac:dyDescent="0.2">
      <c r="A80" s="1">
        <v>21</v>
      </c>
      <c r="B80" s="22" t="s">
        <v>38</v>
      </c>
      <c r="C80" s="23">
        <v>10000</v>
      </c>
      <c r="D80" s="24">
        <v>5.0000000000000001E-3</v>
      </c>
      <c r="E80" s="25">
        <v>0.02</v>
      </c>
      <c r="F80" s="25">
        <v>0</v>
      </c>
      <c r="G80" s="23">
        <v>0</v>
      </c>
      <c r="H80" s="24">
        <v>-5.0000000000000001E-3</v>
      </c>
      <c r="I80" s="23">
        <v>-50</v>
      </c>
      <c r="J80" s="23">
        <v>9950</v>
      </c>
    </row>
    <row r="81" spans="1:10" x14ac:dyDescent="0.2">
      <c r="B81" s="28" t="s">
        <v>27</v>
      </c>
      <c r="C81" s="29">
        <f t="shared" ref="C81:I81" si="3">SUM(C60:C80)</f>
        <v>210000</v>
      </c>
      <c r="D81" s="31">
        <f t="shared" si="3"/>
        <v>0.10500000000000002</v>
      </c>
      <c r="E81" s="30">
        <f t="shared" si="3"/>
        <v>0.4200000000000001</v>
      </c>
      <c r="F81" s="30">
        <f t="shared" si="3"/>
        <v>0.38000000000000006</v>
      </c>
      <c r="G81" s="26">
        <f t="shared" si="3"/>
        <v>3800</v>
      </c>
      <c r="H81" s="30">
        <f t="shared" si="3"/>
        <v>-0.01</v>
      </c>
      <c r="I81" s="29">
        <f t="shared" si="3"/>
        <v>-100</v>
      </c>
      <c r="J81" s="29">
        <f>G81+I81</f>
        <v>3700</v>
      </c>
    </row>
    <row r="83" spans="1:10" x14ac:dyDescent="0.2">
      <c r="A83" s="279" t="s">
        <v>42</v>
      </c>
      <c r="B83" s="279"/>
      <c r="C83" s="279"/>
      <c r="D83" s="279"/>
      <c r="E83" s="279"/>
      <c r="F83" s="279"/>
      <c r="G83" s="279"/>
      <c r="H83" s="279"/>
      <c r="I83" s="279"/>
      <c r="J83" s="279"/>
    </row>
    <row r="84" spans="1:10" x14ac:dyDescent="0.2">
      <c r="A84" s="2" t="s">
        <v>0</v>
      </c>
      <c r="B84" s="2" t="s">
        <v>1</v>
      </c>
      <c r="C84" s="2" t="s">
        <v>28</v>
      </c>
      <c r="D84" s="2" t="s">
        <v>6</v>
      </c>
      <c r="E84" s="2" t="s">
        <v>5</v>
      </c>
      <c r="F84" s="2" t="s">
        <v>3</v>
      </c>
      <c r="G84" s="2" t="s">
        <v>2</v>
      </c>
      <c r="H84" s="2" t="s">
        <v>4</v>
      </c>
      <c r="I84" s="2" t="s">
        <v>9</v>
      </c>
      <c r="J84" s="2" t="s">
        <v>7</v>
      </c>
    </row>
    <row r="85" spans="1:10" x14ac:dyDescent="0.2">
      <c r="A85" s="1">
        <v>1</v>
      </c>
      <c r="B85" s="22" t="s">
        <v>30</v>
      </c>
      <c r="C85" s="23">
        <v>10000</v>
      </c>
      <c r="D85" s="24">
        <v>5.0000000000000001E-3</v>
      </c>
      <c r="E85" s="25">
        <v>0.02</v>
      </c>
      <c r="F85" s="25">
        <v>0.02</v>
      </c>
      <c r="G85" s="26">
        <v>200</v>
      </c>
      <c r="H85" s="22">
        <v>0</v>
      </c>
      <c r="I85" s="22">
        <v>0</v>
      </c>
      <c r="J85" s="23">
        <v>10200</v>
      </c>
    </row>
    <row r="86" spans="1:10" x14ac:dyDescent="0.2">
      <c r="A86" s="1">
        <v>2</v>
      </c>
      <c r="B86" s="22" t="s">
        <v>10</v>
      </c>
      <c r="C86" s="23">
        <v>10000</v>
      </c>
      <c r="D86" s="24">
        <v>5.0000000000000001E-3</v>
      </c>
      <c r="E86" s="25">
        <v>0.02</v>
      </c>
      <c r="F86" s="25">
        <v>0.02</v>
      </c>
      <c r="G86" s="26">
        <v>200</v>
      </c>
      <c r="H86" s="22">
        <v>0</v>
      </c>
      <c r="I86" s="22">
        <v>0</v>
      </c>
      <c r="J86" s="23">
        <v>10200</v>
      </c>
    </row>
    <row r="87" spans="1:10" x14ac:dyDescent="0.2">
      <c r="A87" s="1">
        <v>3</v>
      </c>
      <c r="B87" s="22" t="s">
        <v>16</v>
      </c>
      <c r="C87" s="23">
        <v>10000</v>
      </c>
      <c r="D87" s="24">
        <v>5.0000000000000001E-3</v>
      </c>
      <c r="E87" s="25">
        <v>0.02</v>
      </c>
      <c r="F87" s="25">
        <v>0.02</v>
      </c>
      <c r="G87" s="26">
        <v>200</v>
      </c>
      <c r="H87" s="22">
        <v>0</v>
      </c>
      <c r="I87" s="22">
        <v>0</v>
      </c>
      <c r="J87" s="23">
        <v>10200</v>
      </c>
    </row>
    <row r="88" spans="1:10" x14ac:dyDescent="0.2">
      <c r="A88" s="1">
        <v>4</v>
      </c>
      <c r="B88" s="22" t="s">
        <v>14</v>
      </c>
      <c r="C88" s="23">
        <v>10000</v>
      </c>
      <c r="D88" s="24">
        <v>5.0000000000000001E-3</v>
      </c>
      <c r="E88" s="25">
        <v>0.02</v>
      </c>
      <c r="F88" s="25">
        <v>0.02</v>
      </c>
      <c r="G88" s="26">
        <v>200</v>
      </c>
      <c r="H88" s="22">
        <v>0</v>
      </c>
      <c r="I88" s="22">
        <v>0</v>
      </c>
      <c r="J88" s="23">
        <v>10200</v>
      </c>
    </row>
    <row r="89" spans="1:10" x14ac:dyDescent="0.2">
      <c r="A89" s="1">
        <v>5</v>
      </c>
      <c r="B89" s="22" t="s">
        <v>17</v>
      </c>
      <c r="C89" s="23">
        <v>10000</v>
      </c>
      <c r="D89" s="24">
        <v>5.0000000000000001E-3</v>
      </c>
      <c r="E89" s="25">
        <v>0.02</v>
      </c>
      <c r="F89" s="25">
        <v>0.02</v>
      </c>
      <c r="G89" s="26">
        <v>200</v>
      </c>
      <c r="H89" s="22">
        <v>0</v>
      </c>
      <c r="I89" s="22">
        <v>0</v>
      </c>
      <c r="J89" s="23">
        <v>10200</v>
      </c>
    </row>
    <row r="90" spans="1:10" x14ac:dyDescent="0.2">
      <c r="A90" s="1">
        <v>6</v>
      </c>
      <c r="B90" s="22" t="s">
        <v>25</v>
      </c>
      <c r="C90" s="23">
        <v>10000</v>
      </c>
      <c r="D90" s="24">
        <v>5.0000000000000001E-3</v>
      </c>
      <c r="E90" s="25">
        <v>0.02</v>
      </c>
      <c r="F90" s="25">
        <v>0.02</v>
      </c>
      <c r="G90" s="26">
        <v>200</v>
      </c>
      <c r="H90" s="22">
        <v>0</v>
      </c>
      <c r="I90" s="22">
        <v>0</v>
      </c>
      <c r="J90" s="23">
        <v>10200</v>
      </c>
    </row>
    <row r="91" spans="1:10" x14ac:dyDescent="0.2">
      <c r="A91" s="1">
        <v>7</v>
      </c>
      <c r="B91" s="22" t="s">
        <v>11</v>
      </c>
      <c r="C91" s="23">
        <v>10000</v>
      </c>
      <c r="D91" s="24">
        <v>5.0000000000000001E-3</v>
      </c>
      <c r="E91" s="25">
        <v>0.02</v>
      </c>
      <c r="F91" s="25">
        <v>0.02</v>
      </c>
      <c r="G91" s="26">
        <v>200</v>
      </c>
      <c r="H91" s="22">
        <v>0</v>
      </c>
      <c r="I91" s="22">
        <v>0</v>
      </c>
      <c r="J91" s="23">
        <v>10200</v>
      </c>
    </row>
    <row r="92" spans="1:10" x14ac:dyDescent="0.2">
      <c r="A92" s="1">
        <v>8</v>
      </c>
      <c r="B92" s="22" t="s">
        <v>34</v>
      </c>
      <c r="C92" s="23">
        <v>10000</v>
      </c>
      <c r="D92" s="24">
        <v>5.0000000000000001E-3</v>
      </c>
      <c r="E92" s="25">
        <v>0.02</v>
      </c>
      <c r="F92" s="25">
        <v>0.02</v>
      </c>
      <c r="G92" s="26">
        <v>200</v>
      </c>
      <c r="H92" s="22">
        <v>0</v>
      </c>
      <c r="I92" s="22">
        <v>0</v>
      </c>
      <c r="J92" s="23">
        <v>10200</v>
      </c>
    </row>
    <row r="93" spans="1:10" x14ac:dyDescent="0.2">
      <c r="A93" s="1">
        <v>9</v>
      </c>
      <c r="B93" s="22" t="s">
        <v>18</v>
      </c>
      <c r="C93" s="23">
        <v>10000</v>
      </c>
      <c r="D93" s="24">
        <v>5.0000000000000001E-3</v>
      </c>
      <c r="E93" s="25">
        <v>0.02</v>
      </c>
      <c r="F93" s="25">
        <v>0.02</v>
      </c>
      <c r="G93" s="26">
        <v>200</v>
      </c>
      <c r="H93" s="22">
        <v>0</v>
      </c>
      <c r="I93" s="22">
        <v>0</v>
      </c>
      <c r="J93" s="23">
        <v>10200</v>
      </c>
    </row>
    <row r="94" spans="1:10" x14ac:dyDescent="0.2">
      <c r="A94" s="1">
        <v>10</v>
      </c>
      <c r="B94" s="22" t="s">
        <v>19</v>
      </c>
      <c r="C94" s="23">
        <v>10000</v>
      </c>
      <c r="D94" s="24">
        <v>5.0000000000000001E-3</v>
      </c>
      <c r="E94" s="25">
        <v>0.02</v>
      </c>
      <c r="F94" s="25">
        <v>0.02</v>
      </c>
      <c r="G94" s="26">
        <v>200</v>
      </c>
      <c r="H94" s="22">
        <v>0</v>
      </c>
      <c r="I94" s="22">
        <v>0</v>
      </c>
      <c r="J94" s="23">
        <v>10200</v>
      </c>
    </row>
    <row r="95" spans="1:10" x14ac:dyDescent="0.2">
      <c r="A95" s="1">
        <v>11</v>
      </c>
      <c r="B95" s="22" t="s">
        <v>31</v>
      </c>
      <c r="C95" s="23">
        <v>10000</v>
      </c>
      <c r="D95" s="24">
        <v>5.0000000000000001E-3</v>
      </c>
      <c r="E95" s="25">
        <v>0.02</v>
      </c>
      <c r="F95" s="25">
        <v>0.02</v>
      </c>
      <c r="G95" s="26">
        <v>200</v>
      </c>
      <c r="H95" s="22">
        <v>0</v>
      </c>
      <c r="I95" s="22">
        <v>0</v>
      </c>
      <c r="J95" s="23">
        <v>10200</v>
      </c>
    </row>
    <row r="96" spans="1:10" x14ac:dyDescent="0.2">
      <c r="B96" s="28" t="s">
        <v>27</v>
      </c>
      <c r="C96" s="29">
        <f t="shared" ref="C96:I96" si="4">SUM(C85:C95)</f>
        <v>110000</v>
      </c>
      <c r="D96" s="31">
        <f t="shared" si="4"/>
        <v>5.4999999999999993E-2</v>
      </c>
      <c r="E96" s="30">
        <f t="shared" si="4"/>
        <v>0.21999999999999997</v>
      </c>
      <c r="F96" s="30">
        <f t="shared" si="4"/>
        <v>0.21999999999999997</v>
      </c>
      <c r="G96" s="26">
        <f t="shared" si="4"/>
        <v>2200</v>
      </c>
      <c r="H96" s="30">
        <f t="shared" si="4"/>
        <v>0</v>
      </c>
      <c r="I96" s="29">
        <f t="shared" si="4"/>
        <v>0</v>
      </c>
      <c r="J96" s="29">
        <f>G96+I96</f>
        <v>2200</v>
      </c>
    </row>
  </sheetData>
  <mergeCells count="5">
    <mergeCell ref="A1:J1"/>
    <mergeCell ref="A22:J22"/>
    <mergeCell ref="A38:J38"/>
    <mergeCell ref="A58:J58"/>
    <mergeCell ref="A83:J8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"/>
  <sheetViews>
    <sheetView zoomScale="124" zoomScaleNormal="170" workbookViewId="0">
      <selection activeCell="B13" sqref="B13"/>
    </sheetView>
  </sheetViews>
  <sheetFormatPr baseColWidth="10" defaultRowHeight="16" x14ac:dyDescent="0.2"/>
  <cols>
    <col min="1" max="1" width="19" style="32" bestFit="1" customWidth="1"/>
    <col min="2" max="2" width="23.83203125" style="32" bestFit="1" customWidth="1"/>
    <col min="3" max="3" width="19.5" style="32" bestFit="1" customWidth="1"/>
    <col min="4" max="4" width="17.83203125" style="32" bestFit="1" customWidth="1"/>
    <col min="5" max="6" width="14.6640625" style="32" bestFit="1" customWidth="1"/>
    <col min="7" max="7" width="16.5" style="32" bestFit="1" customWidth="1"/>
    <col min="8" max="8" width="13.5" style="32" bestFit="1" customWidth="1"/>
    <col min="9" max="9" width="15.33203125" style="32" bestFit="1" customWidth="1"/>
    <col min="10" max="10" width="10.33203125" style="32" bestFit="1" customWidth="1"/>
    <col min="11" max="16384" width="10.83203125" style="32"/>
  </cols>
  <sheetData>
    <row r="1" spans="1:7" x14ac:dyDescent="0.2">
      <c r="A1" s="46" t="s">
        <v>110</v>
      </c>
      <c r="B1" s="46" t="s">
        <v>8</v>
      </c>
      <c r="C1" s="46" t="s">
        <v>29</v>
      </c>
      <c r="D1" s="46" t="s">
        <v>40</v>
      </c>
      <c r="E1" s="46" t="s">
        <v>41</v>
      </c>
      <c r="F1" s="46" t="s">
        <v>42</v>
      </c>
      <c r="G1" s="48" t="s">
        <v>116</v>
      </c>
    </row>
    <row r="2" spans="1:7" x14ac:dyDescent="0.2">
      <c r="A2" s="53" t="s">
        <v>111</v>
      </c>
      <c r="B2" s="47">
        <v>23</v>
      </c>
      <c r="C2" s="47">
        <v>20</v>
      </c>
      <c r="D2" s="47">
        <v>20</v>
      </c>
      <c r="E2" s="47">
        <v>20</v>
      </c>
      <c r="F2" s="47">
        <v>20</v>
      </c>
      <c r="G2" s="48">
        <v>103</v>
      </c>
    </row>
    <row r="3" spans="1:7" s="40" customFormat="1" ht="30" x14ac:dyDescent="0.2">
      <c r="A3" s="54" t="s">
        <v>121</v>
      </c>
      <c r="B3" s="55">
        <v>5000</v>
      </c>
      <c r="C3" s="55">
        <v>5000</v>
      </c>
      <c r="D3" s="55">
        <v>5000</v>
      </c>
      <c r="E3" s="55">
        <v>5000</v>
      </c>
      <c r="F3" s="55">
        <v>5000</v>
      </c>
      <c r="G3" s="48"/>
    </row>
    <row r="4" spans="1:7" s="40" customFormat="1" ht="30" x14ac:dyDescent="0.2">
      <c r="A4" s="56" t="s">
        <v>122</v>
      </c>
      <c r="B4" s="57">
        <f>B3*B2</f>
        <v>115000</v>
      </c>
      <c r="C4" s="57">
        <f>C3*C2</f>
        <v>100000</v>
      </c>
      <c r="D4" s="57">
        <f>D3*D2</f>
        <v>100000</v>
      </c>
      <c r="E4" s="57">
        <f>E3*E2</f>
        <v>100000</v>
      </c>
      <c r="F4" s="57">
        <f>F3*F2</f>
        <v>100000</v>
      </c>
      <c r="G4" s="48"/>
    </row>
    <row r="5" spans="1:7" x14ac:dyDescent="0.2">
      <c r="A5" s="53" t="s">
        <v>117</v>
      </c>
      <c r="B5" s="47">
        <v>23</v>
      </c>
      <c r="C5" s="47">
        <v>20</v>
      </c>
      <c r="D5" s="47">
        <v>17</v>
      </c>
      <c r="E5" s="47">
        <v>16</v>
      </c>
      <c r="F5" s="47">
        <v>15</v>
      </c>
      <c r="G5" s="48">
        <v>91</v>
      </c>
    </row>
    <row r="6" spans="1:7" x14ac:dyDescent="0.2">
      <c r="A6" s="53" t="s">
        <v>118</v>
      </c>
      <c r="B6" s="47">
        <v>0</v>
      </c>
      <c r="C6" s="47">
        <v>0</v>
      </c>
      <c r="D6" s="47">
        <v>3</v>
      </c>
      <c r="E6" s="47">
        <v>4</v>
      </c>
      <c r="F6" s="47">
        <v>5</v>
      </c>
      <c r="G6" s="48">
        <v>12</v>
      </c>
    </row>
    <row r="7" spans="1:7" x14ac:dyDescent="0.2">
      <c r="A7" s="58" t="s">
        <v>112</v>
      </c>
      <c r="B7" s="59">
        <v>1</v>
      </c>
      <c r="C7" s="59">
        <v>1</v>
      </c>
      <c r="D7" s="59">
        <v>0.85</v>
      </c>
      <c r="E7" s="59">
        <v>0.8</v>
      </c>
      <c r="F7" s="59">
        <v>0.75</v>
      </c>
      <c r="G7" s="68">
        <f>AVERAGE(B7:F7)</f>
        <v>0.88000000000000012</v>
      </c>
    </row>
    <row r="8" spans="1:7" ht="30" x14ac:dyDescent="0.2">
      <c r="A8" s="69" t="s">
        <v>124</v>
      </c>
      <c r="B8" s="60">
        <v>6.1499999999999999E-2</v>
      </c>
      <c r="C8" s="60">
        <v>3.4000000000000002E-2</v>
      </c>
      <c r="D8" s="60">
        <v>3.5499999999999997E-2</v>
      </c>
      <c r="E8" s="60">
        <v>3.2000000000000001E-2</v>
      </c>
      <c r="F8" s="60">
        <v>2.7E-2</v>
      </c>
      <c r="G8" s="67">
        <f>SUM(B8:F8)</f>
        <v>0.19</v>
      </c>
    </row>
    <row r="9" spans="1:7" x14ac:dyDescent="0.2">
      <c r="A9" s="53" t="s">
        <v>115</v>
      </c>
      <c r="B9" s="51">
        <v>6150</v>
      </c>
      <c r="C9" s="51">
        <v>3400</v>
      </c>
      <c r="D9" s="51">
        <v>3625</v>
      </c>
      <c r="E9" s="51">
        <v>3300</v>
      </c>
      <c r="F9" s="51">
        <v>2825</v>
      </c>
      <c r="G9" s="50">
        <f>SUM(B9:F9)</f>
        <v>19300</v>
      </c>
    </row>
    <row r="10" spans="1:7" x14ac:dyDescent="0.2">
      <c r="A10" s="53" t="s">
        <v>114</v>
      </c>
      <c r="B10" s="51">
        <v>0</v>
      </c>
      <c r="C10" s="51">
        <v>0</v>
      </c>
      <c r="D10" s="51">
        <v>-75</v>
      </c>
      <c r="E10" s="51">
        <v>-100</v>
      </c>
      <c r="F10" s="51">
        <v>-125</v>
      </c>
      <c r="G10" s="50">
        <f>SUM(B10:F10)</f>
        <v>-300</v>
      </c>
    </row>
    <row r="11" spans="1:7" x14ac:dyDescent="0.2">
      <c r="A11" s="70" t="s">
        <v>113</v>
      </c>
      <c r="B11" s="71">
        <v>6150</v>
      </c>
      <c r="C11" s="71">
        <v>3400</v>
      </c>
      <c r="D11" s="71">
        <v>3550</v>
      </c>
      <c r="E11" s="71">
        <v>3200</v>
      </c>
      <c r="F11" s="71">
        <v>2700</v>
      </c>
      <c r="G11" s="72">
        <f>SUM(B11:F11)</f>
        <v>19000</v>
      </c>
    </row>
    <row r="12" spans="1:7" x14ac:dyDescent="0.2">
      <c r="A12" s="61" t="s">
        <v>119</v>
      </c>
      <c r="B12" s="62">
        <f>B11/B4</f>
        <v>5.3478260869565218E-2</v>
      </c>
      <c r="C12" s="62">
        <f>C11/C4</f>
        <v>3.4000000000000002E-2</v>
      </c>
      <c r="D12" s="62">
        <f>D11/D4</f>
        <v>3.5499999999999997E-2</v>
      </c>
      <c r="E12" s="62">
        <f>E11/E4</f>
        <v>3.2000000000000001E-2</v>
      </c>
      <c r="F12" s="62">
        <f>F11/F4</f>
        <v>2.7E-2</v>
      </c>
      <c r="G12" s="49">
        <f>AVERAGE(B12:F12)</f>
        <v>3.6395652173913044E-2</v>
      </c>
    </row>
    <row r="13" spans="1:7" x14ac:dyDescent="0.2">
      <c r="A13" s="63" t="s">
        <v>120</v>
      </c>
      <c r="B13" s="64">
        <f>B10/B4</f>
        <v>0</v>
      </c>
      <c r="C13" s="64">
        <f>C10/C4</f>
        <v>0</v>
      </c>
      <c r="D13" s="64">
        <f>D10/D4</f>
        <v>-7.5000000000000002E-4</v>
      </c>
      <c r="E13" s="64">
        <f>E10/E4</f>
        <v>-1E-3</v>
      </c>
      <c r="F13" s="64">
        <f>F10/F4</f>
        <v>-1.25E-3</v>
      </c>
      <c r="G13" s="65">
        <f>AVERAGE(B13:F13)</f>
        <v>-6.0000000000000006E-4</v>
      </c>
    </row>
    <row r="14" spans="1:7" x14ac:dyDescent="0.2">
      <c r="A14" s="53" t="s">
        <v>123</v>
      </c>
      <c r="B14" s="52">
        <f>B11/B2</f>
        <v>267.39130434782606</v>
      </c>
      <c r="C14" s="52">
        <f>C11/C2</f>
        <v>170</v>
      </c>
      <c r="D14" s="52">
        <f>D11/D2</f>
        <v>177.5</v>
      </c>
      <c r="E14" s="52">
        <f>E11/E2</f>
        <v>160</v>
      </c>
      <c r="F14" s="52">
        <f>F11/F2</f>
        <v>135</v>
      </c>
      <c r="G14" s="66">
        <f>AVERAGE(B14:F14)</f>
        <v>181.97826086956519</v>
      </c>
    </row>
    <row r="17" spans="1:10" x14ac:dyDescent="0.2">
      <c r="A17" s="280" t="s">
        <v>130</v>
      </c>
      <c r="B17" s="280"/>
      <c r="C17" s="280"/>
      <c r="D17" s="280"/>
      <c r="E17" s="280"/>
      <c r="F17" s="280"/>
      <c r="G17" s="280"/>
      <c r="H17" s="280"/>
      <c r="I17" s="280"/>
      <c r="J17" s="280"/>
    </row>
    <row r="18" spans="1:10" x14ac:dyDescent="0.2">
      <c r="A18" s="33" t="s">
        <v>0</v>
      </c>
      <c r="B18" s="33" t="s">
        <v>1</v>
      </c>
      <c r="C18" s="33" t="s">
        <v>28</v>
      </c>
      <c r="D18" s="33" t="s">
        <v>6</v>
      </c>
      <c r="E18" s="33" t="s">
        <v>5</v>
      </c>
      <c r="F18" s="33" t="s">
        <v>3</v>
      </c>
      <c r="G18" s="33" t="s">
        <v>2</v>
      </c>
      <c r="H18" s="33" t="s">
        <v>4</v>
      </c>
      <c r="I18" s="33" t="s">
        <v>9</v>
      </c>
      <c r="J18" s="33" t="s">
        <v>7</v>
      </c>
    </row>
    <row r="19" spans="1:10" x14ac:dyDescent="0.2">
      <c r="A19" s="32">
        <v>1</v>
      </c>
      <c r="B19" s="32" t="s">
        <v>10</v>
      </c>
      <c r="C19" s="34">
        <v>5000</v>
      </c>
      <c r="D19" s="35">
        <v>5.0000000000000001E-3</v>
      </c>
      <c r="E19" s="36">
        <v>0.02</v>
      </c>
      <c r="F19" s="35">
        <v>5.3600000000000002E-2</v>
      </c>
      <c r="G19" s="34">
        <v>268</v>
      </c>
      <c r="H19" s="37">
        <v>0</v>
      </c>
      <c r="I19" s="34">
        <v>0</v>
      </c>
      <c r="J19" s="34">
        <v>5268</v>
      </c>
    </row>
    <row r="20" spans="1:10" x14ac:dyDescent="0.2">
      <c r="A20" s="32">
        <v>2</v>
      </c>
      <c r="B20" s="32" t="s">
        <v>11</v>
      </c>
      <c r="C20" s="34">
        <v>5000</v>
      </c>
      <c r="D20" s="35">
        <v>5.0000000000000001E-3</v>
      </c>
      <c r="E20" s="36">
        <v>0.02</v>
      </c>
      <c r="F20" s="35">
        <v>5.3600000000000002E-2</v>
      </c>
      <c r="G20" s="34">
        <v>268</v>
      </c>
      <c r="H20" s="37">
        <v>0</v>
      </c>
      <c r="I20" s="34">
        <v>0</v>
      </c>
      <c r="J20" s="34">
        <v>5268</v>
      </c>
    </row>
    <row r="21" spans="1:10" x14ac:dyDescent="0.2">
      <c r="A21" s="32">
        <v>3</v>
      </c>
      <c r="B21" s="32" t="s">
        <v>12</v>
      </c>
      <c r="C21" s="34">
        <v>5000</v>
      </c>
      <c r="D21" s="35">
        <v>5.0000000000000001E-3</v>
      </c>
      <c r="E21" s="36">
        <v>0.02</v>
      </c>
      <c r="F21" s="35">
        <v>5.3600000000000002E-2</v>
      </c>
      <c r="G21" s="34">
        <v>268</v>
      </c>
      <c r="H21" s="37">
        <v>0</v>
      </c>
      <c r="I21" s="34">
        <v>0</v>
      </c>
      <c r="J21" s="34">
        <v>5268</v>
      </c>
    </row>
    <row r="22" spans="1:10" x14ac:dyDescent="0.2">
      <c r="A22" s="32">
        <v>4</v>
      </c>
      <c r="B22" s="32" t="s">
        <v>13</v>
      </c>
      <c r="C22" s="34">
        <v>5000</v>
      </c>
      <c r="D22" s="35">
        <v>5.0000000000000001E-3</v>
      </c>
      <c r="E22" s="36">
        <v>0.02</v>
      </c>
      <c r="F22" s="35">
        <v>5.3600000000000002E-2</v>
      </c>
      <c r="G22" s="34">
        <v>268</v>
      </c>
      <c r="H22" s="37">
        <v>0</v>
      </c>
      <c r="I22" s="34">
        <v>0</v>
      </c>
      <c r="J22" s="34">
        <v>5268</v>
      </c>
    </row>
    <row r="23" spans="1:10" x14ac:dyDescent="0.2">
      <c r="A23" s="32">
        <v>5</v>
      </c>
      <c r="B23" s="32" t="s">
        <v>14</v>
      </c>
      <c r="C23" s="34">
        <v>5000</v>
      </c>
      <c r="D23" s="35">
        <v>5.0000000000000001E-3</v>
      </c>
      <c r="E23" s="36">
        <v>0.02</v>
      </c>
      <c r="F23" s="35">
        <v>5.3600000000000002E-2</v>
      </c>
      <c r="G23" s="34">
        <v>268</v>
      </c>
      <c r="H23" s="37">
        <v>0</v>
      </c>
      <c r="I23" s="34">
        <v>0</v>
      </c>
      <c r="J23" s="34">
        <v>5268</v>
      </c>
    </row>
    <row r="24" spans="1:10" x14ac:dyDescent="0.2">
      <c r="A24" s="32">
        <v>6</v>
      </c>
      <c r="B24" s="32" t="s">
        <v>15</v>
      </c>
      <c r="C24" s="34">
        <v>5000</v>
      </c>
      <c r="D24" s="35">
        <v>5.0000000000000001E-3</v>
      </c>
      <c r="E24" s="36">
        <v>0.03</v>
      </c>
      <c r="F24" s="35">
        <v>5.3600000000000002E-2</v>
      </c>
      <c r="G24" s="34">
        <v>268</v>
      </c>
      <c r="H24" s="37">
        <v>0</v>
      </c>
      <c r="I24" s="34">
        <v>0</v>
      </c>
      <c r="J24" s="34">
        <v>5268</v>
      </c>
    </row>
    <row r="25" spans="1:10" x14ac:dyDescent="0.2">
      <c r="A25" s="32">
        <v>7</v>
      </c>
      <c r="B25" s="32" t="s">
        <v>16</v>
      </c>
      <c r="C25" s="34">
        <v>5000</v>
      </c>
      <c r="D25" s="35">
        <v>5.0000000000000001E-3</v>
      </c>
      <c r="E25" s="36">
        <v>0.03</v>
      </c>
      <c r="F25" s="35">
        <v>5.3600000000000002E-2</v>
      </c>
      <c r="G25" s="34">
        <v>268</v>
      </c>
      <c r="H25" s="37">
        <v>0</v>
      </c>
      <c r="I25" s="34">
        <v>0</v>
      </c>
      <c r="J25" s="34">
        <v>5268</v>
      </c>
    </row>
    <row r="26" spans="1:10" x14ac:dyDescent="0.2">
      <c r="A26" s="32">
        <v>8</v>
      </c>
      <c r="B26" s="32" t="s">
        <v>17</v>
      </c>
      <c r="C26" s="34">
        <v>5000</v>
      </c>
      <c r="D26" s="35">
        <v>5.0000000000000001E-3</v>
      </c>
      <c r="E26" s="36">
        <v>0.03</v>
      </c>
      <c r="F26" s="35">
        <v>5.3600000000000002E-2</v>
      </c>
      <c r="G26" s="34">
        <v>268</v>
      </c>
      <c r="H26" s="37">
        <v>0</v>
      </c>
      <c r="I26" s="34">
        <v>0</v>
      </c>
      <c r="J26" s="34">
        <v>5268</v>
      </c>
    </row>
    <row r="27" spans="1:10" x14ac:dyDescent="0.2">
      <c r="A27" s="32">
        <v>9</v>
      </c>
      <c r="B27" s="32" t="s">
        <v>18</v>
      </c>
      <c r="C27" s="34">
        <v>5000</v>
      </c>
      <c r="D27" s="35">
        <v>5.0000000000000001E-3</v>
      </c>
      <c r="E27" s="36">
        <v>0.03</v>
      </c>
      <c r="F27" s="35">
        <v>5.3600000000000002E-2</v>
      </c>
      <c r="G27" s="34">
        <v>268</v>
      </c>
      <c r="H27" s="37">
        <v>0</v>
      </c>
      <c r="I27" s="34">
        <v>0</v>
      </c>
      <c r="J27" s="34">
        <v>5268</v>
      </c>
    </row>
    <row r="28" spans="1:10" x14ac:dyDescent="0.2">
      <c r="A28" s="32">
        <v>10</v>
      </c>
      <c r="B28" s="32" t="s">
        <v>19</v>
      </c>
      <c r="C28" s="34">
        <v>5000</v>
      </c>
      <c r="D28" s="35">
        <v>5.0000000000000001E-3</v>
      </c>
      <c r="E28" s="36">
        <v>0.03</v>
      </c>
      <c r="F28" s="35">
        <v>5.3400000000000003E-2</v>
      </c>
      <c r="G28" s="34">
        <v>267</v>
      </c>
      <c r="H28" s="37">
        <v>0</v>
      </c>
      <c r="I28" s="34">
        <v>0</v>
      </c>
      <c r="J28" s="34">
        <v>5267</v>
      </c>
    </row>
    <row r="29" spans="1:10" x14ac:dyDescent="0.2">
      <c r="A29" s="32">
        <v>11</v>
      </c>
      <c r="B29" s="32" t="s">
        <v>20</v>
      </c>
      <c r="C29" s="34">
        <v>5000</v>
      </c>
      <c r="D29" s="35">
        <v>5.0000000000000001E-3</v>
      </c>
      <c r="E29" s="36">
        <v>0.03</v>
      </c>
      <c r="F29" s="35">
        <v>5.3400000000000003E-2</v>
      </c>
      <c r="G29" s="34">
        <v>267</v>
      </c>
      <c r="H29" s="37">
        <v>0</v>
      </c>
      <c r="I29" s="34">
        <v>0</v>
      </c>
      <c r="J29" s="34">
        <v>5267</v>
      </c>
    </row>
    <row r="30" spans="1:10" x14ac:dyDescent="0.2">
      <c r="A30" s="32">
        <v>12</v>
      </c>
      <c r="B30" s="32" t="s">
        <v>21</v>
      </c>
      <c r="C30" s="34">
        <v>5000</v>
      </c>
      <c r="D30" s="35">
        <v>5.0000000000000001E-3</v>
      </c>
      <c r="E30" s="36">
        <v>0.03</v>
      </c>
      <c r="F30" s="35">
        <v>5.3400000000000003E-2</v>
      </c>
      <c r="G30" s="34">
        <v>267</v>
      </c>
      <c r="H30" s="37">
        <v>0</v>
      </c>
      <c r="I30" s="34">
        <v>0</v>
      </c>
      <c r="J30" s="34">
        <v>5267</v>
      </c>
    </row>
    <row r="31" spans="1:10" x14ac:dyDescent="0.2">
      <c r="A31" s="32">
        <v>13</v>
      </c>
      <c r="B31" s="32" t="s">
        <v>22</v>
      </c>
      <c r="C31" s="34">
        <v>5000</v>
      </c>
      <c r="D31" s="35">
        <v>5.0000000000000001E-3</v>
      </c>
      <c r="E31" s="36">
        <v>0.05</v>
      </c>
      <c r="F31" s="35">
        <v>5.3400000000000003E-2</v>
      </c>
      <c r="G31" s="34">
        <v>267</v>
      </c>
      <c r="H31" s="37">
        <v>0</v>
      </c>
      <c r="I31" s="34">
        <v>0</v>
      </c>
      <c r="J31" s="34">
        <v>5267</v>
      </c>
    </row>
    <row r="32" spans="1:10" x14ac:dyDescent="0.2">
      <c r="A32" s="32">
        <v>14</v>
      </c>
      <c r="B32" s="32" t="s">
        <v>23</v>
      </c>
      <c r="C32" s="34">
        <v>5000</v>
      </c>
      <c r="D32" s="35">
        <v>5.0000000000000001E-3</v>
      </c>
      <c r="E32" s="36">
        <v>0.05</v>
      </c>
      <c r="F32" s="35">
        <v>5.3400000000000003E-2</v>
      </c>
      <c r="G32" s="34">
        <v>267</v>
      </c>
      <c r="H32" s="37">
        <v>0</v>
      </c>
      <c r="I32" s="34">
        <v>0</v>
      </c>
      <c r="J32" s="34">
        <v>5267</v>
      </c>
    </row>
    <row r="33" spans="1:10" x14ac:dyDescent="0.2">
      <c r="A33" s="32">
        <v>15</v>
      </c>
      <c r="B33" s="32" t="s">
        <v>24</v>
      </c>
      <c r="C33" s="34">
        <v>5000</v>
      </c>
      <c r="D33" s="35">
        <v>5.0000000000000001E-3</v>
      </c>
      <c r="E33" s="36">
        <v>0.05</v>
      </c>
      <c r="F33" s="35">
        <v>5.3400000000000003E-2</v>
      </c>
      <c r="G33" s="34">
        <v>267</v>
      </c>
      <c r="H33" s="37">
        <v>0</v>
      </c>
      <c r="I33" s="34">
        <v>0</v>
      </c>
      <c r="J33" s="34">
        <v>5267</v>
      </c>
    </row>
    <row r="34" spans="1:10" x14ac:dyDescent="0.2">
      <c r="A34" s="32">
        <v>16</v>
      </c>
      <c r="B34" s="32" t="s">
        <v>25</v>
      </c>
      <c r="C34" s="34">
        <v>5000</v>
      </c>
      <c r="D34" s="35">
        <v>5.0000000000000001E-3</v>
      </c>
      <c r="E34" s="36">
        <v>0.05</v>
      </c>
      <c r="F34" s="35">
        <v>5.3400000000000003E-2</v>
      </c>
      <c r="G34" s="34">
        <v>267</v>
      </c>
      <c r="H34" s="37">
        <v>0</v>
      </c>
      <c r="I34" s="34">
        <v>0</v>
      </c>
      <c r="J34" s="34">
        <v>5267</v>
      </c>
    </row>
    <row r="35" spans="1:10" x14ac:dyDescent="0.2">
      <c r="A35" s="32">
        <v>17</v>
      </c>
      <c r="B35" s="32" t="s">
        <v>26</v>
      </c>
      <c r="C35" s="34">
        <v>5000</v>
      </c>
      <c r="D35" s="35">
        <v>5.0000000000000001E-3</v>
      </c>
      <c r="E35" s="36">
        <v>0.02</v>
      </c>
      <c r="F35" s="35">
        <v>5.3400000000000003E-2</v>
      </c>
      <c r="G35" s="34">
        <v>267</v>
      </c>
      <c r="H35" s="37">
        <v>0</v>
      </c>
      <c r="I35" s="34">
        <v>0</v>
      </c>
      <c r="J35" s="34">
        <v>5267</v>
      </c>
    </row>
    <row r="36" spans="1:10" x14ac:dyDescent="0.2">
      <c r="A36" s="32">
        <v>18</v>
      </c>
      <c r="B36" s="32" t="s">
        <v>43</v>
      </c>
      <c r="C36" s="34">
        <v>5000</v>
      </c>
      <c r="D36" s="35">
        <v>5.0000000000000001E-3</v>
      </c>
      <c r="E36" s="36">
        <v>0.02</v>
      </c>
      <c r="F36" s="35">
        <v>5.3400000000000003E-2</v>
      </c>
      <c r="G36" s="34">
        <v>267</v>
      </c>
      <c r="H36" s="37">
        <v>0</v>
      </c>
      <c r="I36" s="34">
        <v>0</v>
      </c>
      <c r="J36" s="34">
        <v>5267</v>
      </c>
    </row>
    <row r="37" spans="1:10" x14ac:dyDescent="0.2">
      <c r="A37" s="32">
        <v>19</v>
      </c>
      <c r="B37" s="32" t="s">
        <v>125</v>
      </c>
      <c r="C37" s="34">
        <v>5000</v>
      </c>
      <c r="D37" s="35">
        <v>5.0000000000000001E-3</v>
      </c>
      <c r="E37" s="36">
        <v>0.02</v>
      </c>
      <c r="F37" s="35">
        <v>5.3400000000000003E-2</v>
      </c>
      <c r="G37" s="34">
        <v>267</v>
      </c>
      <c r="H37" s="37">
        <v>0</v>
      </c>
      <c r="I37" s="34">
        <v>0</v>
      </c>
      <c r="J37" s="34">
        <v>5267</v>
      </c>
    </row>
    <row r="38" spans="1:10" x14ac:dyDescent="0.2">
      <c r="A38" s="32">
        <v>20</v>
      </c>
      <c r="B38" s="32" t="s">
        <v>45</v>
      </c>
      <c r="C38" s="34">
        <v>5000</v>
      </c>
      <c r="D38" s="35">
        <v>5.0000000000000001E-3</v>
      </c>
      <c r="E38" s="36">
        <v>0.02</v>
      </c>
      <c r="F38" s="35">
        <v>5.3400000000000003E-2</v>
      </c>
      <c r="G38" s="34">
        <v>267</v>
      </c>
      <c r="H38" s="37">
        <v>0</v>
      </c>
      <c r="I38" s="34">
        <v>0</v>
      </c>
      <c r="J38" s="34">
        <v>5267</v>
      </c>
    </row>
    <row r="39" spans="1:10" x14ac:dyDescent="0.2">
      <c r="A39" s="32">
        <v>21</v>
      </c>
      <c r="B39" s="32" t="s">
        <v>46</v>
      </c>
      <c r="C39" s="34">
        <v>5000</v>
      </c>
      <c r="D39" s="35">
        <v>5.0000000000000001E-3</v>
      </c>
      <c r="E39" s="36">
        <v>0.02</v>
      </c>
      <c r="F39" s="35">
        <v>5.3400000000000003E-2</v>
      </c>
      <c r="G39" s="34">
        <v>267</v>
      </c>
      <c r="H39" s="37">
        <v>0</v>
      </c>
      <c r="I39" s="34">
        <v>0</v>
      </c>
      <c r="J39" s="34">
        <v>5267</v>
      </c>
    </row>
    <row r="40" spans="1:10" x14ac:dyDescent="0.2">
      <c r="A40" s="32">
        <v>22</v>
      </c>
      <c r="B40" s="32" t="s">
        <v>47</v>
      </c>
      <c r="C40" s="34">
        <v>5000</v>
      </c>
      <c r="D40" s="35">
        <v>5.0000000000000001E-3</v>
      </c>
      <c r="E40" s="36">
        <v>0.02</v>
      </c>
      <c r="F40" s="35">
        <v>5.3400000000000003E-2</v>
      </c>
      <c r="G40" s="34">
        <v>267</v>
      </c>
      <c r="H40" s="37">
        <v>0</v>
      </c>
      <c r="I40" s="34">
        <v>0</v>
      </c>
      <c r="J40" s="34">
        <v>5267</v>
      </c>
    </row>
    <row r="41" spans="1:10" x14ac:dyDescent="0.2">
      <c r="A41" s="32">
        <v>23</v>
      </c>
      <c r="B41" s="32" t="s">
        <v>38</v>
      </c>
      <c r="C41" s="34">
        <v>5000</v>
      </c>
      <c r="D41" s="35">
        <v>5.0000000000000001E-3</v>
      </c>
      <c r="E41" s="36">
        <v>0.05</v>
      </c>
      <c r="F41" s="35">
        <v>5.3400000000000003E-2</v>
      </c>
      <c r="G41" s="34">
        <v>267</v>
      </c>
      <c r="H41" s="37">
        <v>0</v>
      </c>
      <c r="I41" s="34">
        <v>0</v>
      </c>
      <c r="J41" s="34">
        <v>5267</v>
      </c>
    </row>
    <row r="42" spans="1:10" x14ac:dyDescent="0.2">
      <c r="A42" s="33" t="s">
        <v>27</v>
      </c>
      <c r="C42" s="38">
        <f>SUM(C19:C41)</f>
        <v>115000</v>
      </c>
      <c r="F42" s="39">
        <f>G42/100000</f>
        <v>6.1499999999999999E-2</v>
      </c>
      <c r="G42" s="38">
        <f>SUM(G19:G41)</f>
        <v>6150</v>
      </c>
      <c r="I42" s="38">
        <v>0</v>
      </c>
      <c r="J42" s="38"/>
    </row>
    <row r="43" spans="1:10" x14ac:dyDescent="0.2">
      <c r="A43" s="40"/>
      <c r="C43" s="34"/>
      <c r="D43" s="35"/>
      <c r="E43" s="36"/>
      <c r="F43" s="36"/>
      <c r="G43" s="41"/>
      <c r="J43" s="34"/>
    </row>
    <row r="44" spans="1:10" x14ac:dyDescent="0.2">
      <c r="A44" s="40"/>
      <c r="C44" s="34"/>
      <c r="D44" s="35"/>
      <c r="E44" s="36"/>
      <c r="F44" s="36"/>
      <c r="G44" s="41"/>
      <c r="J44" s="34"/>
    </row>
    <row r="45" spans="1:10" x14ac:dyDescent="0.2">
      <c r="A45" s="40"/>
      <c r="C45" s="34"/>
      <c r="D45" s="35"/>
      <c r="E45" s="36"/>
      <c r="F45" s="36"/>
      <c r="G45" s="41"/>
      <c r="J45" s="34"/>
    </row>
    <row r="46" spans="1:10" x14ac:dyDescent="0.2">
      <c r="A46" s="280" t="s">
        <v>129</v>
      </c>
      <c r="B46" s="280"/>
      <c r="C46" s="280"/>
      <c r="D46" s="280"/>
      <c r="E46" s="280"/>
      <c r="F46" s="280"/>
      <c r="G46" s="280"/>
      <c r="H46" s="280"/>
      <c r="I46" s="280"/>
      <c r="J46" s="280"/>
    </row>
    <row r="47" spans="1:10" x14ac:dyDescent="0.2">
      <c r="A47" s="33" t="s">
        <v>0</v>
      </c>
      <c r="B47" s="33" t="s">
        <v>1</v>
      </c>
      <c r="C47" s="33" t="s">
        <v>28</v>
      </c>
      <c r="D47" s="33" t="s">
        <v>6</v>
      </c>
      <c r="E47" s="33" t="s">
        <v>5</v>
      </c>
      <c r="F47" s="33" t="s">
        <v>3</v>
      </c>
      <c r="G47" s="33" t="s">
        <v>2</v>
      </c>
      <c r="H47" s="33" t="s">
        <v>4</v>
      </c>
      <c r="I47" s="33" t="s">
        <v>9</v>
      </c>
      <c r="J47" s="33" t="s">
        <v>7</v>
      </c>
    </row>
    <row r="48" spans="1:10" x14ac:dyDescent="0.2">
      <c r="A48" s="32">
        <v>1</v>
      </c>
      <c r="B48" s="32" t="s">
        <v>30</v>
      </c>
      <c r="C48" s="34">
        <v>5000</v>
      </c>
      <c r="D48" s="35">
        <v>5.0000000000000001E-3</v>
      </c>
      <c r="E48" s="36">
        <v>0.02</v>
      </c>
      <c r="F48" s="35">
        <v>3.4000000000000002E-2</v>
      </c>
      <c r="G48" s="34">
        <v>170</v>
      </c>
      <c r="H48" s="42">
        <v>0</v>
      </c>
      <c r="I48" s="34">
        <v>0</v>
      </c>
      <c r="J48" s="34">
        <v>5170</v>
      </c>
    </row>
    <row r="49" spans="1:10" x14ac:dyDescent="0.2">
      <c r="A49" s="32">
        <v>2</v>
      </c>
      <c r="B49" s="32" t="s">
        <v>31</v>
      </c>
      <c r="C49" s="34">
        <v>5000</v>
      </c>
      <c r="D49" s="35">
        <v>5.0000000000000001E-3</v>
      </c>
      <c r="E49" s="36">
        <v>0.02</v>
      </c>
      <c r="F49" s="35">
        <v>3.4000000000000002E-2</v>
      </c>
      <c r="G49" s="34">
        <v>170</v>
      </c>
      <c r="H49" s="42">
        <v>0</v>
      </c>
      <c r="I49" s="34">
        <v>0</v>
      </c>
      <c r="J49" s="34">
        <v>5170</v>
      </c>
    </row>
    <row r="50" spans="1:10" x14ac:dyDescent="0.2">
      <c r="A50" s="32">
        <v>3</v>
      </c>
      <c r="B50" s="32" t="s">
        <v>32</v>
      </c>
      <c r="C50" s="34">
        <v>5000</v>
      </c>
      <c r="D50" s="35">
        <v>5.0000000000000001E-3</v>
      </c>
      <c r="E50" s="36">
        <v>0.02</v>
      </c>
      <c r="F50" s="35">
        <v>3.4000000000000002E-2</v>
      </c>
      <c r="G50" s="34">
        <v>170</v>
      </c>
      <c r="H50" s="42">
        <v>0</v>
      </c>
      <c r="I50" s="34">
        <v>0</v>
      </c>
      <c r="J50" s="34">
        <v>5170</v>
      </c>
    </row>
    <row r="51" spans="1:10" x14ac:dyDescent="0.2">
      <c r="A51" s="32">
        <v>4</v>
      </c>
      <c r="B51" s="32" t="s">
        <v>33</v>
      </c>
      <c r="C51" s="34">
        <v>5000</v>
      </c>
      <c r="D51" s="35">
        <v>5.0000000000000001E-3</v>
      </c>
      <c r="E51" s="36">
        <v>0.02</v>
      </c>
      <c r="F51" s="35">
        <v>3.4000000000000002E-2</v>
      </c>
      <c r="G51" s="34">
        <v>170</v>
      </c>
      <c r="H51" s="42">
        <v>0</v>
      </c>
      <c r="I51" s="34">
        <v>0</v>
      </c>
      <c r="J51" s="34">
        <v>5170</v>
      </c>
    </row>
    <row r="52" spans="1:10" x14ac:dyDescent="0.2">
      <c r="A52" s="32">
        <v>5</v>
      </c>
      <c r="B52" s="32" t="s">
        <v>34</v>
      </c>
      <c r="C52" s="34">
        <v>5000</v>
      </c>
      <c r="D52" s="35">
        <v>5.0000000000000001E-3</v>
      </c>
      <c r="E52" s="36">
        <v>0.02</v>
      </c>
      <c r="F52" s="35">
        <v>3.4000000000000002E-2</v>
      </c>
      <c r="G52" s="34">
        <v>170</v>
      </c>
      <c r="H52" s="42">
        <v>0</v>
      </c>
      <c r="I52" s="34">
        <v>0</v>
      </c>
      <c r="J52" s="34">
        <v>5170</v>
      </c>
    </row>
    <row r="53" spans="1:10" x14ac:dyDescent="0.2">
      <c r="A53" s="32">
        <v>6</v>
      </c>
      <c r="B53" s="32" t="s">
        <v>35</v>
      </c>
      <c r="C53" s="34">
        <v>5000</v>
      </c>
      <c r="D53" s="35">
        <v>5.0000000000000001E-3</v>
      </c>
      <c r="E53" s="36">
        <v>0.02</v>
      </c>
      <c r="F53" s="35">
        <v>3.4000000000000002E-2</v>
      </c>
      <c r="G53" s="34">
        <v>170</v>
      </c>
      <c r="H53" s="42">
        <v>0</v>
      </c>
      <c r="I53" s="34">
        <v>0</v>
      </c>
      <c r="J53" s="34">
        <v>5170</v>
      </c>
    </row>
    <row r="54" spans="1:10" x14ac:dyDescent="0.2">
      <c r="A54" s="32">
        <v>7</v>
      </c>
      <c r="B54" s="32" t="s">
        <v>48</v>
      </c>
      <c r="C54" s="34">
        <v>5000</v>
      </c>
      <c r="D54" s="35">
        <v>5.0000000000000001E-3</v>
      </c>
      <c r="E54" s="36">
        <v>0.02</v>
      </c>
      <c r="F54" s="35">
        <v>3.4000000000000002E-2</v>
      </c>
      <c r="G54" s="34">
        <v>170</v>
      </c>
      <c r="H54" s="42">
        <v>0</v>
      </c>
      <c r="I54" s="34">
        <v>0</v>
      </c>
      <c r="J54" s="34">
        <v>5170</v>
      </c>
    </row>
    <row r="55" spans="1:10" x14ac:dyDescent="0.2">
      <c r="A55" s="32">
        <v>8</v>
      </c>
      <c r="B55" s="32" t="s">
        <v>49</v>
      </c>
      <c r="C55" s="34">
        <v>5000</v>
      </c>
      <c r="D55" s="35">
        <v>5.0000000000000001E-3</v>
      </c>
      <c r="E55" s="36">
        <v>0.02</v>
      </c>
      <c r="F55" s="35">
        <v>3.4000000000000002E-2</v>
      </c>
      <c r="G55" s="34">
        <v>170</v>
      </c>
      <c r="H55" s="42">
        <v>0</v>
      </c>
      <c r="I55" s="34">
        <v>0</v>
      </c>
      <c r="J55" s="34">
        <v>5170</v>
      </c>
    </row>
    <row r="56" spans="1:10" x14ac:dyDescent="0.2">
      <c r="A56" s="32">
        <v>9</v>
      </c>
      <c r="B56" s="32" t="s">
        <v>50</v>
      </c>
      <c r="C56" s="34">
        <v>5000</v>
      </c>
      <c r="D56" s="35">
        <v>5.0000000000000001E-3</v>
      </c>
      <c r="E56" s="36">
        <v>0.02</v>
      </c>
      <c r="F56" s="35">
        <v>3.4000000000000002E-2</v>
      </c>
      <c r="G56" s="34">
        <v>170</v>
      </c>
      <c r="H56" s="42">
        <v>0</v>
      </c>
      <c r="I56" s="34">
        <v>0</v>
      </c>
      <c r="J56" s="34">
        <v>5170</v>
      </c>
    </row>
    <row r="57" spans="1:10" x14ac:dyDescent="0.2">
      <c r="A57" s="32">
        <v>10</v>
      </c>
      <c r="B57" s="32" t="s">
        <v>51</v>
      </c>
      <c r="C57" s="34">
        <v>5000</v>
      </c>
      <c r="D57" s="35">
        <v>5.0000000000000001E-3</v>
      </c>
      <c r="E57" s="36">
        <v>0.02</v>
      </c>
      <c r="F57" s="35">
        <v>3.4000000000000002E-2</v>
      </c>
      <c r="G57" s="34">
        <v>170</v>
      </c>
      <c r="H57" s="42">
        <v>0</v>
      </c>
      <c r="I57" s="34">
        <v>0</v>
      </c>
      <c r="J57" s="34">
        <v>5170</v>
      </c>
    </row>
    <row r="58" spans="1:10" x14ac:dyDescent="0.2">
      <c r="A58" s="32">
        <v>11</v>
      </c>
      <c r="B58" s="32" t="s">
        <v>52</v>
      </c>
      <c r="C58" s="34">
        <v>5000</v>
      </c>
      <c r="D58" s="35">
        <v>5.0000000000000001E-3</v>
      </c>
      <c r="E58" s="36">
        <v>0.02</v>
      </c>
      <c r="F58" s="35">
        <v>3.4000000000000002E-2</v>
      </c>
      <c r="G58" s="34">
        <v>170</v>
      </c>
      <c r="H58" s="42">
        <v>0</v>
      </c>
      <c r="I58" s="34">
        <v>0</v>
      </c>
      <c r="J58" s="34">
        <v>5170</v>
      </c>
    </row>
    <row r="59" spans="1:10" x14ac:dyDescent="0.2">
      <c r="A59" s="32">
        <v>12</v>
      </c>
      <c r="B59" s="32" t="s">
        <v>53</v>
      </c>
      <c r="C59" s="34">
        <v>5000</v>
      </c>
      <c r="D59" s="35">
        <v>5.0000000000000001E-3</v>
      </c>
      <c r="E59" s="36">
        <v>0.02</v>
      </c>
      <c r="F59" s="35">
        <v>3.4000000000000002E-2</v>
      </c>
      <c r="G59" s="34">
        <v>170</v>
      </c>
      <c r="H59" s="42">
        <v>0</v>
      </c>
      <c r="I59" s="34">
        <v>0</v>
      </c>
      <c r="J59" s="34">
        <v>5170</v>
      </c>
    </row>
    <row r="60" spans="1:10" x14ac:dyDescent="0.2">
      <c r="A60" s="32">
        <v>13</v>
      </c>
      <c r="B60" s="32" t="s">
        <v>54</v>
      </c>
      <c r="C60" s="34">
        <v>5000</v>
      </c>
      <c r="D60" s="35">
        <v>5.0000000000000001E-3</v>
      </c>
      <c r="E60" s="36">
        <v>0.02</v>
      </c>
      <c r="F60" s="35">
        <v>3.4000000000000002E-2</v>
      </c>
      <c r="G60" s="34">
        <v>170</v>
      </c>
      <c r="H60" s="42">
        <v>0</v>
      </c>
      <c r="I60" s="34">
        <v>0</v>
      </c>
      <c r="J60" s="34">
        <v>5170</v>
      </c>
    </row>
    <row r="61" spans="1:10" x14ac:dyDescent="0.2">
      <c r="A61" s="32">
        <v>14</v>
      </c>
      <c r="B61" s="32" t="s">
        <v>55</v>
      </c>
      <c r="C61" s="34">
        <v>5000</v>
      </c>
      <c r="D61" s="35">
        <v>5.0000000000000001E-3</v>
      </c>
      <c r="E61" s="36">
        <v>0.02</v>
      </c>
      <c r="F61" s="35">
        <v>3.4000000000000002E-2</v>
      </c>
      <c r="G61" s="34">
        <v>170</v>
      </c>
      <c r="H61" s="42">
        <v>0</v>
      </c>
      <c r="I61" s="34">
        <v>0</v>
      </c>
      <c r="J61" s="34">
        <v>5170</v>
      </c>
    </row>
    <row r="62" spans="1:10" x14ac:dyDescent="0.2">
      <c r="A62" s="32">
        <v>15</v>
      </c>
      <c r="B62" s="32" t="s">
        <v>56</v>
      </c>
      <c r="C62" s="34">
        <v>5000</v>
      </c>
      <c r="D62" s="35">
        <v>5.0000000000000001E-3</v>
      </c>
      <c r="E62" s="36">
        <v>0.05</v>
      </c>
      <c r="F62" s="35">
        <v>3.4000000000000002E-2</v>
      </c>
      <c r="G62" s="34">
        <v>170</v>
      </c>
      <c r="H62" s="42">
        <v>0</v>
      </c>
      <c r="I62" s="34">
        <v>0</v>
      </c>
      <c r="J62" s="34">
        <v>5170</v>
      </c>
    </row>
    <row r="63" spans="1:10" x14ac:dyDescent="0.2">
      <c r="A63" s="32">
        <v>16</v>
      </c>
      <c r="B63" s="32" t="s">
        <v>57</v>
      </c>
      <c r="C63" s="34">
        <v>5000</v>
      </c>
      <c r="D63" s="35">
        <v>5.0000000000000001E-3</v>
      </c>
      <c r="E63" s="36">
        <v>0.05</v>
      </c>
      <c r="F63" s="35">
        <v>3.4000000000000002E-2</v>
      </c>
      <c r="G63" s="34">
        <v>170</v>
      </c>
      <c r="H63" s="42">
        <v>0</v>
      </c>
      <c r="I63" s="34">
        <v>0</v>
      </c>
      <c r="J63" s="34">
        <v>5170</v>
      </c>
    </row>
    <row r="64" spans="1:10" x14ac:dyDescent="0.2">
      <c r="A64" s="32">
        <v>17</v>
      </c>
      <c r="B64" s="32" t="s">
        <v>58</v>
      </c>
      <c r="C64" s="34">
        <v>5000</v>
      </c>
      <c r="D64" s="35">
        <v>5.0000000000000001E-3</v>
      </c>
      <c r="E64" s="36">
        <v>0.05</v>
      </c>
      <c r="F64" s="35">
        <v>3.4000000000000002E-2</v>
      </c>
      <c r="G64" s="34">
        <v>170</v>
      </c>
      <c r="H64" s="42">
        <v>0</v>
      </c>
      <c r="I64" s="34">
        <v>0</v>
      </c>
      <c r="J64" s="34">
        <v>5170</v>
      </c>
    </row>
    <row r="65" spans="1:10" x14ac:dyDescent="0.2">
      <c r="A65" s="32">
        <v>18</v>
      </c>
      <c r="B65" s="32" t="s">
        <v>59</v>
      </c>
      <c r="C65" s="34">
        <v>5000</v>
      </c>
      <c r="D65" s="35">
        <v>5.0000000000000001E-3</v>
      </c>
      <c r="E65" s="36">
        <v>0.05</v>
      </c>
      <c r="F65" s="35">
        <v>3.4000000000000002E-2</v>
      </c>
      <c r="G65" s="34">
        <v>170</v>
      </c>
      <c r="H65" s="42">
        <v>0</v>
      </c>
      <c r="I65" s="34">
        <v>0</v>
      </c>
      <c r="J65" s="34">
        <v>5170</v>
      </c>
    </row>
    <row r="66" spans="1:10" x14ac:dyDescent="0.2">
      <c r="A66" s="32">
        <v>19</v>
      </c>
      <c r="B66" s="32" t="s">
        <v>60</v>
      </c>
      <c r="C66" s="34">
        <v>5000</v>
      </c>
      <c r="D66" s="35">
        <v>5.0000000000000001E-3</v>
      </c>
      <c r="E66" s="36">
        <v>0.05</v>
      </c>
      <c r="F66" s="35">
        <v>3.4000000000000002E-2</v>
      </c>
      <c r="G66" s="34">
        <v>170</v>
      </c>
      <c r="H66" s="42">
        <v>0</v>
      </c>
      <c r="I66" s="34">
        <v>0</v>
      </c>
      <c r="J66" s="34">
        <v>5170</v>
      </c>
    </row>
    <row r="67" spans="1:10" x14ac:dyDescent="0.2">
      <c r="A67" s="32">
        <v>20</v>
      </c>
      <c r="B67" s="32" t="s">
        <v>61</v>
      </c>
      <c r="C67" s="34">
        <v>5000</v>
      </c>
      <c r="D67" s="35">
        <v>5.0000000000000001E-3</v>
      </c>
      <c r="E67" s="36">
        <v>0.05</v>
      </c>
      <c r="F67" s="35">
        <v>3.4000000000000002E-2</v>
      </c>
      <c r="G67" s="34">
        <v>170</v>
      </c>
      <c r="H67" s="42">
        <v>0</v>
      </c>
      <c r="I67" s="34">
        <v>0</v>
      </c>
      <c r="J67" s="34">
        <v>5170</v>
      </c>
    </row>
    <row r="68" spans="1:10" x14ac:dyDescent="0.2">
      <c r="A68" s="33" t="s">
        <v>27</v>
      </c>
      <c r="C68" s="38">
        <v>100000</v>
      </c>
      <c r="F68" s="43">
        <f>G68/100000</f>
        <v>3.4000000000000002E-2</v>
      </c>
      <c r="G68" s="38">
        <v>3400</v>
      </c>
      <c r="I68" s="38">
        <v>0</v>
      </c>
      <c r="J68" s="38"/>
    </row>
    <row r="69" spans="1:10" x14ac:dyDescent="0.2">
      <c r="A69" s="40"/>
      <c r="C69" s="34"/>
      <c r="D69" s="35"/>
      <c r="E69" s="36"/>
      <c r="F69" s="36"/>
      <c r="G69" s="41"/>
      <c r="J69" s="34"/>
    </row>
    <row r="70" spans="1:10" x14ac:dyDescent="0.2">
      <c r="A70" s="40"/>
      <c r="C70" s="34"/>
      <c r="D70" s="35"/>
      <c r="E70" s="36"/>
      <c r="F70" s="36"/>
      <c r="G70" s="41"/>
      <c r="J70" s="34"/>
    </row>
    <row r="71" spans="1:10" x14ac:dyDescent="0.2">
      <c r="A71" s="40"/>
      <c r="B71" s="33"/>
      <c r="C71" s="38"/>
      <c r="D71" s="35"/>
      <c r="E71" s="36"/>
      <c r="F71" s="44"/>
      <c r="G71" s="41"/>
      <c r="H71" s="44"/>
    </row>
    <row r="72" spans="1:10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</row>
    <row r="73" spans="1:10" x14ac:dyDescent="0.2">
      <c r="A73" s="280" t="s">
        <v>128</v>
      </c>
      <c r="B73" s="280"/>
      <c r="C73" s="280"/>
      <c r="D73" s="280"/>
      <c r="E73" s="280"/>
      <c r="F73" s="280"/>
      <c r="G73" s="280"/>
      <c r="H73" s="280"/>
      <c r="I73" s="280"/>
      <c r="J73" s="280"/>
    </row>
    <row r="74" spans="1:10" x14ac:dyDescent="0.2">
      <c r="A74" s="33" t="s">
        <v>0</v>
      </c>
      <c r="B74" s="33" t="s">
        <v>1</v>
      </c>
      <c r="C74" s="33" t="s">
        <v>28</v>
      </c>
      <c r="D74" s="33" t="s">
        <v>6</v>
      </c>
      <c r="E74" s="33" t="s">
        <v>5</v>
      </c>
      <c r="F74" s="33" t="s">
        <v>3</v>
      </c>
      <c r="G74" s="33" t="s">
        <v>2</v>
      </c>
      <c r="H74" s="33" t="s">
        <v>4</v>
      </c>
      <c r="I74" s="33" t="s">
        <v>9</v>
      </c>
      <c r="J74" s="33" t="s">
        <v>7</v>
      </c>
    </row>
    <row r="75" spans="1:10" x14ac:dyDescent="0.2">
      <c r="A75" s="32">
        <v>1</v>
      </c>
      <c r="B75" s="32" t="s">
        <v>62</v>
      </c>
      <c r="C75" s="34">
        <v>5000</v>
      </c>
      <c r="D75" s="35">
        <v>5.0000000000000001E-3</v>
      </c>
      <c r="E75" s="36">
        <v>0.05</v>
      </c>
      <c r="F75" s="35">
        <v>3.5499999999999997E-2</v>
      </c>
      <c r="G75" s="34">
        <v>178</v>
      </c>
      <c r="H75" s="42">
        <v>0</v>
      </c>
      <c r="I75" s="34">
        <v>0</v>
      </c>
      <c r="J75" s="34">
        <v>5178</v>
      </c>
    </row>
    <row r="76" spans="1:10" x14ac:dyDescent="0.2">
      <c r="A76" s="32">
        <v>2</v>
      </c>
      <c r="B76" s="32" t="s">
        <v>63</v>
      </c>
      <c r="C76" s="34">
        <v>5000</v>
      </c>
      <c r="D76" s="35">
        <v>5.0000000000000001E-3</v>
      </c>
      <c r="E76" s="36">
        <v>0.05</v>
      </c>
      <c r="F76" s="35">
        <v>3.5499999999999997E-2</v>
      </c>
      <c r="G76" s="34">
        <v>178</v>
      </c>
      <c r="H76" s="42">
        <v>0</v>
      </c>
      <c r="I76" s="34">
        <v>0</v>
      </c>
      <c r="J76" s="34">
        <v>5178</v>
      </c>
    </row>
    <row r="77" spans="1:10" x14ac:dyDescent="0.2">
      <c r="A77" s="32">
        <v>3</v>
      </c>
      <c r="B77" s="32" t="s">
        <v>64</v>
      </c>
      <c r="C77" s="34">
        <v>5000</v>
      </c>
      <c r="D77" s="35">
        <v>5.0000000000000001E-3</v>
      </c>
      <c r="E77" s="36">
        <v>0.05</v>
      </c>
      <c r="F77" s="35">
        <v>3.5499999999999997E-2</v>
      </c>
      <c r="G77" s="34">
        <v>178</v>
      </c>
      <c r="H77" s="42">
        <v>0</v>
      </c>
      <c r="I77" s="34">
        <v>0</v>
      </c>
      <c r="J77" s="34">
        <v>5178</v>
      </c>
    </row>
    <row r="78" spans="1:10" x14ac:dyDescent="0.2">
      <c r="A78" s="32">
        <v>4</v>
      </c>
      <c r="B78" s="32" t="s">
        <v>65</v>
      </c>
      <c r="C78" s="34">
        <v>5000</v>
      </c>
      <c r="D78" s="35">
        <v>5.0000000000000001E-3</v>
      </c>
      <c r="E78" s="36">
        <v>0.05</v>
      </c>
      <c r="F78" s="35">
        <v>3.5499999999999997E-2</v>
      </c>
      <c r="G78" s="34">
        <v>178</v>
      </c>
      <c r="H78" s="42">
        <v>0</v>
      </c>
      <c r="I78" s="34">
        <v>0</v>
      </c>
      <c r="J78" s="34">
        <v>5178</v>
      </c>
    </row>
    <row r="79" spans="1:10" x14ac:dyDescent="0.2">
      <c r="A79" s="32">
        <v>5</v>
      </c>
      <c r="B79" s="32" t="s">
        <v>66</v>
      </c>
      <c r="C79" s="34">
        <v>5000</v>
      </c>
      <c r="D79" s="35">
        <v>5.0000000000000001E-3</v>
      </c>
      <c r="E79" s="36">
        <v>0.05</v>
      </c>
      <c r="F79" s="35">
        <v>3.5499999999999997E-2</v>
      </c>
      <c r="G79" s="34">
        <v>178</v>
      </c>
      <c r="H79" s="42">
        <v>0</v>
      </c>
      <c r="I79" s="34">
        <v>0</v>
      </c>
      <c r="J79" s="34">
        <v>5178</v>
      </c>
    </row>
    <row r="80" spans="1:10" x14ac:dyDescent="0.2">
      <c r="A80" s="32">
        <v>6</v>
      </c>
      <c r="B80" s="32" t="s">
        <v>67</v>
      </c>
      <c r="C80" s="34">
        <v>5000</v>
      </c>
      <c r="D80" s="35">
        <v>5.0000000000000001E-3</v>
      </c>
      <c r="E80" s="36">
        <v>0.05</v>
      </c>
      <c r="F80" s="35">
        <v>3.5499999999999997E-2</v>
      </c>
      <c r="G80" s="34">
        <v>178</v>
      </c>
      <c r="H80" s="42">
        <v>0</v>
      </c>
      <c r="I80" s="34">
        <v>0</v>
      </c>
      <c r="J80" s="34">
        <v>5178</v>
      </c>
    </row>
    <row r="81" spans="1:10" x14ac:dyDescent="0.2">
      <c r="A81" s="32">
        <v>7</v>
      </c>
      <c r="B81" s="32" t="s">
        <v>68</v>
      </c>
      <c r="C81" s="34">
        <v>5000</v>
      </c>
      <c r="D81" s="35">
        <v>5.0000000000000001E-3</v>
      </c>
      <c r="E81" s="36">
        <v>0.05</v>
      </c>
      <c r="F81" s="35">
        <v>3.5499999999999997E-2</v>
      </c>
      <c r="G81" s="34">
        <v>178</v>
      </c>
      <c r="H81" s="42">
        <v>0</v>
      </c>
      <c r="I81" s="34">
        <v>0</v>
      </c>
      <c r="J81" s="34">
        <v>5178</v>
      </c>
    </row>
    <row r="82" spans="1:10" x14ac:dyDescent="0.2">
      <c r="A82" s="32">
        <v>8</v>
      </c>
      <c r="B82" s="32" t="s">
        <v>69</v>
      </c>
      <c r="C82" s="34">
        <v>5000</v>
      </c>
      <c r="D82" s="35">
        <v>5.0000000000000001E-3</v>
      </c>
      <c r="E82" s="36">
        <v>0.05</v>
      </c>
      <c r="F82" s="35">
        <v>3.5499999999999997E-2</v>
      </c>
      <c r="G82" s="34">
        <v>178</v>
      </c>
      <c r="H82" s="42">
        <v>0</v>
      </c>
      <c r="I82" s="34">
        <v>0</v>
      </c>
      <c r="J82" s="34">
        <v>5178</v>
      </c>
    </row>
    <row r="83" spans="1:10" x14ac:dyDescent="0.2">
      <c r="A83" s="32">
        <v>9</v>
      </c>
      <c r="B83" s="32" t="s">
        <v>70</v>
      </c>
      <c r="C83" s="34">
        <v>5000</v>
      </c>
      <c r="D83" s="35">
        <v>5.0000000000000001E-3</v>
      </c>
      <c r="E83" s="36">
        <v>0.05</v>
      </c>
      <c r="F83" s="35">
        <v>3.5499999999999997E-2</v>
      </c>
      <c r="G83" s="34">
        <v>178</v>
      </c>
      <c r="H83" s="42">
        <v>0</v>
      </c>
      <c r="I83" s="34">
        <v>0</v>
      </c>
      <c r="J83" s="34">
        <v>5178</v>
      </c>
    </row>
    <row r="84" spans="1:10" x14ac:dyDescent="0.2">
      <c r="A84" s="32">
        <v>10</v>
      </c>
      <c r="B84" s="32" t="s">
        <v>71</v>
      </c>
      <c r="C84" s="34">
        <v>5000</v>
      </c>
      <c r="D84" s="35">
        <v>5.0000000000000001E-3</v>
      </c>
      <c r="E84" s="36">
        <v>0.05</v>
      </c>
      <c r="F84" s="35">
        <v>3.5499999999999997E-2</v>
      </c>
      <c r="G84" s="34">
        <v>178</v>
      </c>
      <c r="H84" s="42">
        <v>0</v>
      </c>
      <c r="I84" s="34">
        <v>0</v>
      </c>
      <c r="J84" s="34">
        <v>5178</v>
      </c>
    </row>
    <row r="85" spans="1:10" x14ac:dyDescent="0.2">
      <c r="A85" s="32">
        <v>11</v>
      </c>
      <c r="B85" s="32" t="s">
        <v>72</v>
      </c>
      <c r="C85" s="34">
        <v>5000</v>
      </c>
      <c r="D85" s="35">
        <v>5.0000000000000001E-3</v>
      </c>
      <c r="E85" s="36">
        <v>0.05</v>
      </c>
      <c r="F85" s="35">
        <v>3.5499999999999997E-2</v>
      </c>
      <c r="G85" s="34">
        <v>178</v>
      </c>
      <c r="H85" s="42">
        <v>0</v>
      </c>
      <c r="I85" s="34">
        <v>0</v>
      </c>
      <c r="J85" s="34">
        <v>5178</v>
      </c>
    </row>
    <row r="86" spans="1:10" x14ac:dyDescent="0.2">
      <c r="A86" s="32">
        <v>12</v>
      </c>
      <c r="B86" s="32" t="s">
        <v>73</v>
      </c>
      <c r="C86" s="34">
        <v>5000</v>
      </c>
      <c r="D86" s="35">
        <v>5.0000000000000001E-3</v>
      </c>
      <c r="E86" s="36">
        <v>0.05</v>
      </c>
      <c r="F86" s="35">
        <v>3.5499999999999997E-2</v>
      </c>
      <c r="G86" s="34">
        <v>178</v>
      </c>
      <c r="H86" s="42">
        <v>0</v>
      </c>
      <c r="I86" s="34">
        <v>0</v>
      </c>
      <c r="J86" s="34">
        <v>5178</v>
      </c>
    </row>
    <row r="87" spans="1:10" x14ac:dyDescent="0.2">
      <c r="A87" s="32">
        <v>13</v>
      </c>
      <c r="B87" s="32" t="s">
        <v>74</v>
      </c>
      <c r="C87" s="34">
        <v>5000</v>
      </c>
      <c r="D87" s="35">
        <v>5.0000000000000001E-3</v>
      </c>
      <c r="E87" s="36">
        <v>0.05</v>
      </c>
      <c r="F87" s="35">
        <v>3.5499999999999997E-2</v>
      </c>
      <c r="G87" s="34">
        <v>178</v>
      </c>
      <c r="H87" s="42">
        <v>0</v>
      </c>
      <c r="I87" s="34">
        <v>0</v>
      </c>
      <c r="J87" s="34">
        <v>5178</v>
      </c>
    </row>
    <row r="88" spans="1:10" x14ac:dyDescent="0.2">
      <c r="A88" s="32">
        <v>14</v>
      </c>
      <c r="B88" s="32" t="s">
        <v>75</v>
      </c>
      <c r="C88" s="34">
        <v>5000</v>
      </c>
      <c r="D88" s="35">
        <v>5.0000000000000001E-3</v>
      </c>
      <c r="E88" s="36">
        <v>0.05</v>
      </c>
      <c r="F88" s="35">
        <v>3.5499999999999997E-2</v>
      </c>
      <c r="G88" s="34">
        <v>178</v>
      </c>
      <c r="H88" s="42">
        <v>0</v>
      </c>
      <c r="I88" s="34">
        <v>0</v>
      </c>
      <c r="J88" s="34">
        <v>5178</v>
      </c>
    </row>
    <row r="89" spans="1:10" x14ac:dyDescent="0.2">
      <c r="A89" s="32">
        <v>15</v>
      </c>
      <c r="B89" s="32" t="s">
        <v>76</v>
      </c>
      <c r="C89" s="34">
        <v>5000</v>
      </c>
      <c r="D89" s="35">
        <v>5.0000000000000001E-3</v>
      </c>
      <c r="E89" s="36">
        <v>0.05</v>
      </c>
      <c r="F89" s="35">
        <v>3.5499999999999997E-2</v>
      </c>
      <c r="G89" s="34">
        <v>178</v>
      </c>
      <c r="H89" s="42">
        <v>0</v>
      </c>
      <c r="I89" s="34">
        <v>0</v>
      </c>
      <c r="J89" s="34">
        <v>5178</v>
      </c>
    </row>
    <row r="90" spans="1:10" x14ac:dyDescent="0.2">
      <c r="A90" s="32">
        <v>16</v>
      </c>
      <c r="B90" s="32" t="s">
        <v>77</v>
      </c>
      <c r="C90" s="34">
        <v>5000</v>
      </c>
      <c r="D90" s="35">
        <v>5.0000000000000001E-3</v>
      </c>
      <c r="E90" s="36">
        <v>0.05</v>
      </c>
      <c r="F90" s="35">
        <v>3.5400000000000001E-2</v>
      </c>
      <c r="G90" s="34">
        <v>177</v>
      </c>
      <c r="H90" s="42">
        <v>0</v>
      </c>
      <c r="I90" s="34">
        <v>0</v>
      </c>
      <c r="J90" s="34">
        <v>5177</v>
      </c>
    </row>
    <row r="91" spans="1:10" x14ac:dyDescent="0.2">
      <c r="A91" s="32">
        <v>17</v>
      </c>
      <c r="B91" s="32" t="s">
        <v>78</v>
      </c>
      <c r="C91" s="34">
        <v>5000</v>
      </c>
      <c r="D91" s="35">
        <v>5.0000000000000001E-3</v>
      </c>
      <c r="E91" s="36">
        <v>0.05</v>
      </c>
      <c r="F91" s="35">
        <v>3.5400000000000001E-2</v>
      </c>
      <c r="G91" s="34">
        <v>177</v>
      </c>
      <c r="H91" s="42">
        <v>0</v>
      </c>
      <c r="I91" s="34">
        <v>0</v>
      </c>
      <c r="J91" s="34">
        <v>5177</v>
      </c>
    </row>
    <row r="92" spans="1:10" x14ac:dyDescent="0.2">
      <c r="A92" s="32">
        <v>18</v>
      </c>
      <c r="B92" s="32" t="s">
        <v>79</v>
      </c>
      <c r="C92" s="34">
        <v>5000</v>
      </c>
      <c r="D92" s="35">
        <v>5.0000000000000001E-3</v>
      </c>
      <c r="E92" s="36">
        <v>0.05</v>
      </c>
      <c r="F92" s="35">
        <v>0</v>
      </c>
      <c r="G92" s="34">
        <v>0</v>
      </c>
      <c r="H92" s="35">
        <v>5.0000000000000001E-3</v>
      </c>
      <c r="I92" s="34">
        <v>-25</v>
      </c>
      <c r="J92" s="34">
        <v>4975</v>
      </c>
    </row>
    <row r="93" spans="1:10" x14ac:dyDescent="0.2">
      <c r="A93" s="32">
        <v>19</v>
      </c>
      <c r="B93" s="32" t="s">
        <v>80</v>
      </c>
      <c r="C93" s="34">
        <v>5000</v>
      </c>
      <c r="D93" s="35">
        <v>5.0000000000000001E-3</v>
      </c>
      <c r="E93" s="36">
        <v>0.05</v>
      </c>
      <c r="F93" s="35">
        <v>0</v>
      </c>
      <c r="G93" s="34">
        <v>0</v>
      </c>
      <c r="H93" s="35">
        <v>5.0000000000000001E-3</v>
      </c>
      <c r="I93" s="34">
        <v>-25</v>
      </c>
      <c r="J93" s="34">
        <v>4975</v>
      </c>
    </row>
    <row r="94" spans="1:10" x14ac:dyDescent="0.2">
      <c r="A94" s="32">
        <v>20</v>
      </c>
      <c r="B94" s="32" t="s">
        <v>81</v>
      </c>
      <c r="C94" s="34">
        <v>5000</v>
      </c>
      <c r="D94" s="35">
        <v>5.0000000000000001E-3</v>
      </c>
      <c r="E94" s="36">
        <v>0.05</v>
      </c>
      <c r="F94" s="35">
        <v>0</v>
      </c>
      <c r="G94" s="34">
        <v>0</v>
      </c>
      <c r="H94" s="35">
        <v>5.0000000000000001E-3</v>
      </c>
      <c r="I94" s="34">
        <v>-25</v>
      </c>
      <c r="J94" s="34">
        <v>4975</v>
      </c>
    </row>
    <row r="95" spans="1:10" x14ac:dyDescent="0.2">
      <c r="A95" s="33" t="s">
        <v>27</v>
      </c>
      <c r="C95" s="38">
        <v>100000</v>
      </c>
      <c r="F95" s="45">
        <f>G95/100000</f>
        <v>3.6249999999999998E-2</v>
      </c>
      <c r="G95" s="38">
        <v>3625</v>
      </c>
      <c r="I95" s="38">
        <v>-75</v>
      </c>
      <c r="J95" s="38"/>
    </row>
    <row r="96" spans="1:10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</row>
    <row r="97" spans="1:10" x14ac:dyDescent="0.2">
      <c r="A97" s="280" t="s">
        <v>127</v>
      </c>
      <c r="B97" s="280"/>
      <c r="C97" s="280"/>
      <c r="D97" s="280"/>
      <c r="E97" s="280"/>
      <c r="F97" s="280"/>
      <c r="G97" s="280"/>
      <c r="H97" s="280"/>
      <c r="I97" s="280"/>
      <c r="J97" s="280"/>
    </row>
    <row r="98" spans="1:10" x14ac:dyDescent="0.2">
      <c r="A98" s="33" t="s">
        <v>0</v>
      </c>
      <c r="B98" s="33" t="s">
        <v>1</v>
      </c>
      <c r="C98" s="33" t="s">
        <v>28</v>
      </c>
      <c r="D98" s="33" t="s">
        <v>6</v>
      </c>
      <c r="E98" s="33" t="s">
        <v>5</v>
      </c>
      <c r="F98" s="33" t="s">
        <v>3</v>
      </c>
      <c r="G98" s="33" t="s">
        <v>2</v>
      </c>
      <c r="H98" s="33" t="s">
        <v>4</v>
      </c>
      <c r="I98" s="33" t="s">
        <v>9</v>
      </c>
      <c r="J98" s="33" t="s">
        <v>7</v>
      </c>
    </row>
    <row r="99" spans="1:10" x14ac:dyDescent="0.2">
      <c r="A99" s="32">
        <v>1</v>
      </c>
      <c r="B99" s="32" t="s">
        <v>82</v>
      </c>
      <c r="C99" s="34">
        <v>5000</v>
      </c>
      <c r="D99" s="35">
        <v>5.0000000000000001E-3</v>
      </c>
      <c r="E99" s="36">
        <v>0.05</v>
      </c>
      <c r="F99" s="35">
        <v>3.2000000000000001E-2</v>
      </c>
      <c r="G99" s="34">
        <v>160</v>
      </c>
      <c r="H99" s="42">
        <v>0</v>
      </c>
      <c r="I99" s="34">
        <v>0</v>
      </c>
      <c r="J99" s="34">
        <v>5160</v>
      </c>
    </row>
    <row r="100" spans="1:10" x14ac:dyDescent="0.2">
      <c r="A100" s="32">
        <v>2</v>
      </c>
      <c r="B100" s="32" t="s">
        <v>83</v>
      </c>
      <c r="C100" s="34">
        <v>5000</v>
      </c>
      <c r="D100" s="35">
        <v>5.0000000000000001E-3</v>
      </c>
      <c r="E100" s="36">
        <v>0.05</v>
      </c>
      <c r="F100" s="35">
        <v>3.2000000000000001E-2</v>
      </c>
      <c r="G100" s="34">
        <v>160</v>
      </c>
      <c r="H100" s="42">
        <v>0</v>
      </c>
      <c r="I100" s="34">
        <v>0</v>
      </c>
      <c r="J100" s="34">
        <v>5160</v>
      </c>
    </row>
    <row r="101" spans="1:10" x14ac:dyDescent="0.2">
      <c r="A101" s="32">
        <v>3</v>
      </c>
      <c r="B101" s="32" t="s">
        <v>84</v>
      </c>
      <c r="C101" s="34">
        <v>5000</v>
      </c>
      <c r="D101" s="35">
        <v>5.0000000000000001E-3</v>
      </c>
      <c r="E101" s="36">
        <v>0.05</v>
      </c>
      <c r="F101" s="35">
        <v>3.2000000000000001E-2</v>
      </c>
      <c r="G101" s="34">
        <v>160</v>
      </c>
      <c r="H101" s="42">
        <v>0</v>
      </c>
      <c r="I101" s="34">
        <v>0</v>
      </c>
      <c r="J101" s="34">
        <v>5160</v>
      </c>
    </row>
    <row r="102" spans="1:10" x14ac:dyDescent="0.2">
      <c r="A102" s="32">
        <v>4</v>
      </c>
      <c r="B102" s="32" t="s">
        <v>85</v>
      </c>
      <c r="C102" s="34">
        <v>5000</v>
      </c>
      <c r="D102" s="35">
        <v>5.0000000000000001E-3</v>
      </c>
      <c r="E102" s="36">
        <v>0.05</v>
      </c>
      <c r="F102" s="35">
        <v>3.2000000000000001E-2</v>
      </c>
      <c r="G102" s="34">
        <v>160</v>
      </c>
      <c r="H102" s="42">
        <v>0</v>
      </c>
      <c r="I102" s="34">
        <v>0</v>
      </c>
      <c r="J102" s="34">
        <v>5160</v>
      </c>
    </row>
    <row r="103" spans="1:10" x14ac:dyDescent="0.2">
      <c r="A103" s="32">
        <v>5</v>
      </c>
      <c r="B103" s="32" t="s">
        <v>86</v>
      </c>
      <c r="C103" s="34">
        <v>5000</v>
      </c>
      <c r="D103" s="35">
        <v>5.0000000000000001E-3</v>
      </c>
      <c r="E103" s="36">
        <v>0.05</v>
      </c>
      <c r="F103" s="35">
        <v>3.2000000000000001E-2</v>
      </c>
      <c r="G103" s="34">
        <v>160</v>
      </c>
      <c r="H103" s="42">
        <v>0</v>
      </c>
      <c r="I103" s="34">
        <v>0</v>
      </c>
      <c r="J103" s="34">
        <v>5160</v>
      </c>
    </row>
    <row r="104" spans="1:10" x14ac:dyDescent="0.2">
      <c r="A104" s="32">
        <v>6</v>
      </c>
      <c r="B104" s="32" t="s">
        <v>87</v>
      </c>
      <c r="C104" s="34">
        <v>5000</v>
      </c>
      <c r="D104" s="35">
        <v>5.0000000000000001E-3</v>
      </c>
      <c r="E104" s="36">
        <v>0.05</v>
      </c>
      <c r="F104" s="35">
        <v>3.2000000000000001E-2</v>
      </c>
      <c r="G104" s="34">
        <v>160</v>
      </c>
      <c r="H104" s="42">
        <v>0</v>
      </c>
      <c r="I104" s="34">
        <v>0</v>
      </c>
      <c r="J104" s="34">
        <v>5160</v>
      </c>
    </row>
    <row r="105" spans="1:10" x14ac:dyDescent="0.2">
      <c r="A105" s="32">
        <v>7</v>
      </c>
      <c r="B105" s="32" t="s">
        <v>88</v>
      </c>
      <c r="C105" s="34">
        <v>5000</v>
      </c>
      <c r="D105" s="35">
        <v>5.0000000000000001E-3</v>
      </c>
      <c r="E105" s="36">
        <v>0.05</v>
      </c>
      <c r="F105" s="35">
        <v>3.2000000000000001E-2</v>
      </c>
      <c r="G105" s="34">
        <v>160</v>
      </c>
      <c r="H105" s="42">
        <v>0</v>
      </c>
      <c r="I105" s="34">
        <v>0</v>
      </c>
      <c r="J105" s="34">
        <v>5160</v>
      </c>
    </row>
    <row r="106" spans="1:10" x14ac:dyDescent="0.2">
      <c r="A106" s="32">
        <v>8</v>
      </c>
      <c r="B106" s="32" t="s">
        <v>81</v>
      </c>
      <c r="C106" s="34">
        <v>5000</v>
      </c>
      <c r="D106" s="35">
        <v>5.0000000000000001E-3</v>
      </c>
      <c r="E106" s="36">
        <v>0.05</v>
      </c>
      <c r="F106" s="35">
        <v>3.2000000000000001E-2</v>
      </c>
      <c r="G106" s="34">
        <v>160</v>
      </c>
      <c r="H106" s="42">
        <v>0</v>
      </c>
      <c r="I106" s="34">
        <v>0</v>
      </c>
      <c r="J106" s="34">
        <v>5160</v>
      </c>
    </row>
    <row r="107" spans="1:10" x14ac:dyDescent="0.2">
      <c r="A107" s="32">
        <v>9</v>
      </c>
      <c r="B107" s="32" t="s">
        <v>89</v>
      </c>
      <c r="C107" s="34">
        <v>5000</v>
      </c>
      <c r="D107" s="35">
        <v>5.0000000000000001E-3</v>
      </c>
      <c r="E107" s="36">
        <v>0.05</v>
      </c>
      <c r="F107" s="35">
        <v>3.2000000000000001E-2</v>
      </c>
      <c r="G107" s="34">
        <v>160</v>
      </c>
      <c r="H107" s="42">
        <v>0</v>
      </c>
      <c r="I107" s="34">
        <v>0</v>
      </c>
      <c r="J107" s="34">
        <v>5160</v>
      </c>
    </row>
    <row r="108" spans="1:10" x14ac:dyDescent="0.2">
      <c r="A108" s="32">
        <v>10</v>
      </c>
      <c r="B108" s="32" t="s">
        <v>90</v>
      </c>
      <c r="C108" s="34">
        <v>5000</v>
      </c>
      <c r="D108" s="35">
        <v>5.0000000000000001E-3</v>
      </c>
      <c r="E108" s="36">
        <v>0.05</v>
      </c>
      <c r="F108" s="35">
        <v>3.2000000000000001E-2</v>
      </c>
      <c r="G108" s="34">
        <v>160</v>
      </c>
      <c r="H108" s="42">
        <v>0</v>
      </c>
      <c r="I108" s="34">
        <v>0</v>
      </c>
      <c r="J108" s="34">
        <v>5160</v>
      </c>
    </row>
    <row r="109" spans="1:10" x14ac:dyDescent="0.2">
      <c r="A109" s="32">
        <v>11</v>
      </c>
      <c r="B109" s="32" t="s">
        <v>91</v>
      </c>
      <c r="C109" s="34">
        <v>5000</v>
      </c>
      <c r="D109" s="35">
        <v>5.0000000000000001E-3</v>
      </c>
      <c r="E109" s="36">
        <v>0.05</v>
      </c>
      <c r="F109" s="35">
        <v>3.2000000000000001E-2</v>
      </c>
      <c r="G109" s="34">
        <v>160</v>
      </c>
      <c r="H109" s="42">
        <v>0</v>
      </c>
      <c r="I109" s="34">
        <v>0</v>
      </c>
      <c r="J109" s="34">
        <v>5160</v>
      </c>
    </row>
    <row r="110" spans="1:10" x14ac:dyDescent="0.2">
      <c r="A110" s="32">
        <v>12</v>
      </c>
      <c r="B110" s="32" t="s">
        <v>92</v>
      </c>
      <c r="C110" s="34">
        <v>5000</v>
      </c>
      <c r="D110" s="35">
        <v>5.0000000000000001E-3</v>
      </c>
      <c r="E110" s="36">
        <v>0.05</v>
      </c>
      <c r="F110" s="35">
        <v>3.2000000000000001E-2</v>
      </c>
      <c r="G110" s="34">
        <v>160</v>
      </c>
      <c r="H110" s="42">
        <v>0</v>
      </c>
      <c r="I110" s="34">
        <v>0</v>
      </c>
      <c r="J110" s="34">
        <v>5160</v>
      </c>
    </row>
    <row r="111" spans="1:10" x14ac:dyDescent="0.2">
      <c r="A111" s="32">
        <v>13</v>
      </c>
      <c r="B111" s="32" t="s">
        <v>80</v>
      </c>
      <c r="C111" s="34">
        <v>5000</v>
      </c>
      <c r="D111" s="35">
        <v>5.0000000000000001E-3</v>
      </c>
      <c r="E111" s="36">
        <v>0.05</v>
      </c>
      <c r="F111" s="35">
        <v>3.2000000000000001E-2</v>
      </c>
      <c r="G111" s="34">
        <v>160</v>
      </c>
      <c r="H111" s="42">
        <v>0</v>
      </c>
      <c r="I111" s="34">
        <v>0</v>
      </c>
      <c r="J111" s="34">
        <v>5160</v>
      </c>
    </row>
    <row r="112" spans="1:10" x14ac:dyDescent="0.2">
      <c r="A112" s="32">
        <v>14</v>
      </c>
      <c r="B112" s="32" t="s">
        <v>93</v>
      </c>
      <c r="C112" s="34">
        <v>5000</v>
      </c>
      <c r="D112" s="35">
        <v>5.0000000000000001E-3</v>
      </c>
      <c r="E112" s="36">
        <v>0.05</v>
      </c>
      <c r="F112" s="35">
        <v>3.2000000000000001E-2</v>
      </c>
      <c r="G112" s="34">
        <v>160</v>
      </c>
      <c r="H112" s="42">
        <v>0</v>
      </c>
      <c r="I112" s="34">
        <v>0</v>
      </c>
      <c r="J112" s="34">
        <v>5160</v>
      </c>
    </row>
    <row r="113" spans="1:10" x14ac:dyDescent="0.2">
      <c r="A113" s="32">
        <v>15</v>
      </c>
      <c r="B113" s="32" t="s">
        <v>73</v>
      </c>
      <c r="C113" s="34">
        <v>5000</v>
      </c>
      <c r="D113" s="35">
        <v>5.0000000000000001E-3</v>
      </c>
      <c r="E113" s="36">
        <v>0.05</v>
      </c>
      <c r="F113" s="35">
        <v>3.2000000000000001E-2</v>
      </c>
      <c r="G113" s="34">
        <v>160</v>
      </c>
      <c r="H113" s="42">
        <v>0</v>
      </c>
      <c r="I113" s="34">
        <v>0</v>
      </c>
      <c r="J113" s="34">
        <v>5160</v>
      </c>
    </row>
    <row r="114" spans="1:10" x14ac:dyDescent="0.2">
      <c r="A114" s="32">
        <v>16</v>
      </c>
      <c r="B114" s="32" t="s">
        <v>74</v>
      </c>
      <c r="C114" s="34">
        <v>5000</v>
      </c>
      <c r="D114" s="35">
        <v>5.0000000000000001E-3</v>
      </c>
      <c r="E114" s="36">
        <v>0.05</v>
      </c>
      <c r="F114" s="35">
        <v>3.2000000000000001E-2</v>
      </c>
      <c r="G114" s="34">
        <v>160</v>
      </c>
      <c r="H114" s="42">
        <v>0</v>
      </c>
      <c r="I114" s="34">
        <v>0</v>
      </c>
      <c r="J114" s="34">
        <v>5160</v>
      </c>
    </row>
    <row r="115" spans="1:10" x14ac:dyDescent="0.2">
      <c r="A115" s="32">
        <v>17</v>
      </c>
      <c r="B115" s="32" t="s">
        <v>94</v>
      </c>
      <c r="C115" s="34">
        <v>5000</v>
      </c>
      <c r="D115" s="35">
        <v>5.0000000000000001E-3</v>
      </c>
      <c r="E115" s="36">
        <v>0.05</v>
      </c>
      <c r="F115" s="35">
        <v>0</v>
      </c>
      <c r="G115" s="34">
        <v>0</v>
      </c>
      <c r="H115" s="35">
        <v>5.0000000000000001E-3</v>
      </c>
      <c r="I115" s="34">
        <v>-25</v>
      </c>
      <c r="J115" s="34">
        <v>4975</v>
      </c>
    </row>
    <row r="116" spans="1:10" x14ac:dyDescent="0.2">
      <c r="A116" s="32">
        <v>18</v>
      </c>
      <c r="B116" s="32" t="s">
        <v>78</v>
      </c>
      <c r="C116" s="34">
        <v>5000</v>
      </c>
      <c r="D116" s="35">
        <v>5.0000000000000001E-3</v>
      </c>
      <c r="E116" s="36">
        <v>0.05</v>
      </c>
      <c r="F116" s="35">
        <v>0</v>
      </c>
      <c r="G116" s="34">
        <v>0</v>
      </c>
      <c r="H116" s="35">
        <v>5.0000000000000001E-3</v>
      </c>
      <c r="I116" s="34">
        <v>-25</v>
      </c>
      <c r="J116" s="34">
        <v>4975</v>
      </c>
    </row>
    <row r="117" spans="1:10" x14ac:dyDescent="0.2">
      <c r="A117" s="32">
        <v>19</v>
      </c>
      <c r="B117" s="32" t="s">
        <v>79</v>
      </c>
      <c r="C117" s="34">
        <v>5000</v>
      </c>
      <c r="D117" s="35">
        <v>5.0000000000000001E-3</v>
      </c>
      <c r="E117" s="36">
        <v>0.05</v>
      </c>
      <c r="F117" s="35">
        <v>0</v>
      </c>
      <c r="G117" s="34">
        <v>0</v>
      </c>
      <c r="H117" s="35">
        <v>5.0000000000000001E-3</v>
      </c>
      <c r="I117" s="34">
        <v>-25</v>
      </c>
      <c r="J117" s="34">
        <v>4975</v>
      </c>
    </row>
    <row r="118" spans="1:10" x14ac:dyDescent="0.2">
      <c r="A118" s="32">
        <v>20</v>
      </c>
      <c r="B118" s="32" t="s">
        <v>95</v>
      </c>
      <c r="C118" s="34">
        <v>5000</v>
      </c>
      <c r="D118" s="35">
        <v>5.0000000000000001E-3</v>
      </c>
      <c r="E118" s="36">
        <v>0.05</v>
      </c>
      <c r="F118" s="35">
        <v>0</v>
      </c>
      <c r="G118" s="34">
        <v>0</v>
      </c>
      <c r="H118" s="35">
        <v>5.0000000000000001E-3</v>
      </c>
      <c r="I118" s="34">
        <v>-25</v>
      </c>
      <c r="J118" s="34">
        <v>4975</v>
      </c>
    </row>
    <row r="119" spans="1:10" x14ac:dyDescent="0.2">
      <c r="A119" s="33" t="s">
        <v>27</v>
      </c>
      <c r="C119" s="38">
        <v>100000</v>
      </c>
      <c r="F119" s="43">
        <f>G119/100000</f>
        <v>3.3000000000000002E-2</v>
      </c>
      <c r="G119" s="38">
        <v>3300</v>
      </c>
      <c r="I119" s="38">
        <v>-100</v>
      </c>
      <c r="J119" s="38"/>
    </row>
    <row r="120" spans="1:10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</row>
    <row r="121" spans="1:10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</row>
    <row r="122" spans="1:10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</row>
    <row r="123" spans="1:10" x14ac:dyDescent="0.2">
      <c r="A123" s="280" t="s">
        <v>126</v>
      </c>
      <c r="B123" s="280"/>
      <c r="C123" s="280"/>
      <c r="D123" s="280"/>
      <c r="E123" s="280"/>
      <c r="F123" s="280"/>
      <c r="G123" s="280"/>
      <c r="H123" s="280"/>
      <c r="I123" s="280"/>
      <c r="J123" s="280"/>
    </row>
    <row r="124" spans="1:10" x14ac:dyDescent="0.2">
      <c r="A124" s="33" t="s">
        <v>0</v>
      </c>
      <c r="B124" s="33" t="s">
        <v>1</v>
      </c>
      <c r="C124" s="33" t="s">
        <v>28</v>
      </c>
      <c r="D124" s="33" t="s">
        <v>6</v>
      </c>
      <c r="E124" s="33" t="s">
        <v>5</v>
      </c>
      <c r="F124" s="33" t="s">
        <v>3</v>
      </c>
      <c r="G124" s="33" t="s">
        <v>2</v>
      </c>
      <c r="H124" s="33" t="s">
        <v>4</v>
      </c>
      <c r="I124" s="33" t="s">
        <v>9</v>
      </c>
      <c r="J124" s="33" t="s">
        <v>7</v>
      </c>
    </row>
    <row r="125" spans="1:10" x14ac:dyDescent="0.2">
      <c r="A125" s="32">
        <v>1</v>
      </c>
      <c r="B125" s="32" t="s">
        <v>96</v>
      </c>
      <c r="C125" s="34">
        <v>5000</v>
      </c>
      <c r="D125" s="35">
        <v>5.0000000000000001E-3</v>
      </c>
      <c r="E125" s="36">
        <v>0.05</v>
      </c>
      <c r="F125" s="35">
        <v>3.7499999999999999E-2</v>
      </c>
      <c r="G125" s="34">
        <v>188</v>
      </c>
      <c r="H125" s="42">
        <v>0</v>
      </c>
      <c r="I125" s="34">
        <v>0</v>
      </c>
      <c r="J125" s="34">
        <v>5188</v>
      </c>
    </row>
    <row r="126" spans="1:10" x14ac:dyDescent="0.2">
      <c r="A126" s="32">
        <v>2</v>
      </c>
      <c r="B126" s="32" t="s">
        <v>97</v>
      </c>
      <c r="C126" s="34">
        <v>5000</v>
      </c>
      <c r="D126" s="35">
        <v>5.0000000000000001E-3</v>
      </c>
      <c r="E126" s="36">
        <v>0.05</v>
      </c>
      <c r="F126" s="35">
        <v>3.7499999999999999E-2</v>
      </c>
      <c r="G126" s="34">
        <v>188</v>
      </c>
      <c r="H126" s="42">
        <v>0</v>
      </c>
      <c r="I126" s="34">
        <v>0</v>
      </c>
      <c r="J126" s="34">
        <v>5188</v>
      </c>
    </row>
    <row r="127" spans="1:10" x14ac:dyDescent="0.2">
      <c r="A127" s="32">
        <v>3</v>
      </c>
      <c r="B127" s="32" t="s">
        <v>98</v>
      </c>
      <c r="C127" s="34">
        <v>5000</v>
      </c>
      <c r="D127" s="35">
        <v>5.0000000000000001E-3</v>
      </c>
      <c r="E127" s="36">
        <v>0.05</v>
      </c>
      <c r="F127" s="35">
        <v>3.7499999999999999E-2</v>
      </c>
      <c r="G127" s="34">
        <v>188</v>
      </c>
      <c r="H127" s="42">
        <v>0</v>
      </c>
      <c r="I127" s="34">
        <v>0</v>
      </c>
      <c r="J127" s="34">
        <v>5188</v>
      </c>
    </row>
    <row r="128" spans="1:10" x14ac:dyDescent="0.2">
      <c r="A128" s="32">
        <v>4</v>
      </c>
      <c r="B128" s="32" t="s">
        <v>99</v>
      </c>
      <c r="C128" s="34">
        <v>5000</v>
      </c>
      <c r="D128" s="35">
        <v>5.0000000000000001E-3</v>
      </c>
      <c r="E128" s="36">
        <v>0.05</v>
      </c>
      <c r="F128" s="35">
        <v>3.7499999999999999E-2</v>
      </c>
      <c r="G128" s="34">
        <v>188</v>
      </c>
      <c r="H128" s="42">
        <v>0</v>
      </c>
      <c r="I128" s="34">
        <v>0</v>
      </c>
      <c r="J128" s="34">
        <v>5188</v>
      </c>
    </row>
    <row r="129" spans="1:10" x14ac:dyDescent="0.2">
      <c r="A129" s="32">
        <v>5</v>
      </c>
      <c r="B129" s="32" t="s">
        <v>100</v>
      </c>
      <c r="C129" s="34">
        <v>5000</v>
      </c>
      <c r="D129" s="35">
        <v>5.0000000000000001E-3</v>
      </c>
      <c r="E129" s="36">
        <v>0.05</v>
      </c>
      <c r="F129" s="35">
        <v>3.7499999999999999E-2</v>
      </c>
      <c r="G129" s="34">
        <v>188</v>
      </c>
      <c r="H129" s="42">
        <v>0</v>
      </c>
      <c r="I129" s="34">
        <v>0</v>
      </c>
      <c r="J129" s="34">
        <v>5188</v>
      </c>
    </row>
    <row r="130" spans="1:10" x14ac:dyDescent="0.2">
      <c r="A130" s="32">
        <v>6</v>
      </c>
      <c r="B130" s="32" t="s">
        <v>101</v>
      </c>
      <c r="C130" s="34">
        <v>5000</v>
      </c>
      <c r="D130" s="35">
        <v>5.0000000000000001E-3</v>
      </c>
      <c r="E130" s="36">
        <v>0.02</v>
      </c>
      <c r="F130" s="35">
        <v>3.7499999999999999E-2</v>
      </c>
      <c r="G130" s="34">
        <v>188</v>
      </c>
      <c r="H130" s="42">
        <v>0</v>
      </c>
      <c r="I130" s="34">
        <v>0</v>
      </c>
      <c r="J130" s="34">
        <v>5188</v>
      </c>
    </row>
    <row r="131" spans="1:10" x14ac:dyDescent="0.2">
      <c r="A131" s="32">
        <v>7</v>
      </c>
      <c r="B131" s="32" t="s">
        <v>44</v>
      </c>
      <c r="C131" s="34">
        <v>5000</v>
      </c>
      <c r="D131" s="35">
        <v>5.0000000000000001E-3</v>
      </c>
      <c r="E131" s="36">
        <v>0.03</v>
      </c>
      <c r="F131" s="35">
        <v>3.7499999999999999E-2</v>
      </c>
      <c r="G131" s="34">
        <v>188</v>
      </c>
      <c r="H131" s="42">
        <v>0</v>
      </c>
      <c r="I131" s="34">
        <v>0</v>
      </c>
      <c r="J131" s="34">
        <v>5188</v>
      </c>
    </row>
    <row r="132" spans="1:10" x14ac:dyDescent="0.2">
      <c r="A132" s="32">
        <v>8</v>
      </c>
      <c r="B132" s="32" t="s">
        <v>102</v>
      </c>
      <c r="C132" s="34">
        <v>5000</v>
      </c>
      <c r="D132" s="35">
        <v>5.0000000000000001E-3</v>
      </c>
      <c r="E132" s="36">
        <v>0.03</v>
      </c>
      <c r="F132" s="35">
        <v>3.7499999999999999E-2</v>
      </c>
      <c r="G132" s="34">
        <v>188</v>
      </c>
      <c r="H132" s="42">
        <v>0</v>
      </c>
      <c r="I132" s="34">
        <v>0</v>
      </c>
      <c r="J132" s="34">
        <v>5188</v>
      </c>
    </row>
    <row r="133" spans="1:10" x14ac:dyDescent="0.2">
      <c r="A133" s="32">
        <v>9</v>
      </c>
      <c r="B133" s="32" t="s">
        <v>103</v>
      </c>
      <c r="C133" s="34">
        <v>5000</v>
      </c>
      <c r="D133" s="35">
        <v>5.0000000000000001E-3</v>
      </c>
      <c r="E133" s="36">
        <v>0.03</v>
      </c>
      <c r="F133" s="35">
        <v>3.7499999999999999E-2</v>
      </c>
      <c r="G133" s="34">
        <v>188</v>
      </c>
      <c r="H133" s="42">
        <v>0</v>
      </c>
      <c r="I133" s="34">
        <v>0</v>
      </c>
      <c r="J133" s="34">
        <v>5188</v>
      </c>
    </row>
    <row r="134" spans="1:10" x14ac:dyDescent="0.2">
      <c r="A134" s="32">
        <v>10</v>
      </c>
      <c r="B134" s="32" t="s">
        <v>104</v>
      </c>
      <c r="C134" s="34">
        <v>5000</v>
      </c>
      <c r="D134" s="35">
        <v>5.0000000000000001E-3</v>
      </c>
      <c r="E134" s="36">
        <v>0.03</v>
      </c>
      <c r="F134" s="35">
        <v>3.7499999999999999E-2</v>
      </c>
      <c r="G134" s="34">
        <v>188</v>
      </c>
      <c r="H134" s="42">
        <v>0</v>
      </c>
      <c r="I134" s="34">
        <v>0</v>
      </c>
      <c r="J134" s="34">
        <v>5188</v>
      </c>
    </row>
    <row r="135" spans="1:10" x14ac:dyDescent="0.2">
      <c r="A135" s="32">
        <v>11</v>
      </c>
      <c r="B135" s="32" t="s">
        <v>105</v>
      </c>
      <c r="C135" s="34">
        <v>5000</v>
      </c>
      <c r="D135" s="35">
        <v>5.0000000000000001E-3</v>
      </c>
      <c r="E135" s="36">
        <v>0.03</v>
      </c>
      <c r="F135" s="35">
        <v>3.7499999999999999E-2</v>
      </c>
      <c r="G135" s="34">
        <v>188</v>
      </c>
      <c r="H135" s="42">
        <v>0</v>
      </c>
      <c r="I135" s="34">
        <v>0</v>
      </c>
      <c r="J135" s="34">
        <v>5188</v>
      </c>
    </row>
    <row r="136" spans="1:10" x14ac:dyDescent="0.2">
      <c r="A136" s="32">
        <v>12</v>
      </c>
      <c r="B136" s="32" t="s">
        <v>95</v>
      </c>
      <c r="C136" s="34">
        <v>5000</v>
      </c>
      <c r="D136" s="35">
        <v>5.0000000000000001E-3</v>
      </c>
      <c r="E136" s="36">
        <v>0.05</v>
      </c>
      <c r="F136" s="35">
        <v>3.7499999999999999E-2</v>
      </c>
      <c r="G136" s="34">
        <v>188</v>
      </c>
      <c r="H136" s="42">
        <v>0</v>
      </c>
      <c r="I136" s="34">
        <v>0</v>
      </c>
      <c r="J136" s="34">
        <v>5188</v>
      </c>
    </row>
    <row r="137" spans="1:10" x14ac:dyDescent="0.2">
      <c r="A137" s="32">
        <v>13</v>
      </c>
      <c r="B137" s="32" t="s">
        <v>106</v>
      </c>
      <c r="C137" s="34">
        <v>5000</v>
      </c>
      <c r="D137" s="35">
        <v>5.0000000000000001E-3</v>
      </c>
      <c r="E137" s="36">
        <v>0.05</v>
      </c>
      <c r="F137" s="35">
        <v>3.7499999999999999E-2</v>
      </c>
      <c r="G137" s="34">
        <v>188</v>
      </c>
      <c r="H137" s="42">
        <v>0</v>
      </c>
      <c r="I137" s="34">
        <v>0</v>
      </c>
      <c r="J137" s="34">
        <v>5188</v>
      </c>
    </row>
    <row r="138" spans="1:10" x14ac:dyDescent="0.2">
      <c r="A138" s="32">
        <v>14</v>
      </c>
      <c r="B138" s="32" t="s">
        <v>93</v>
      </c>
      <c r="C138" s="34">
        <v>5000</v>
      </c>
      <c r="D138" s="35">
        <v>5.0000000000000001E-3</v>
      </c>
      <c r="E138" s="36">
        <v>0.05</v>
      </c>
      <c r="F138" s="35">
        <v>3.7499999999999999E-2</v>
      </c>
      <c r="G138" s="34">
        <v>188</v>
      </c>
      <c r="H138" s="42">
        <v>0</v>
      </c>
      <c r="I138" s="34">
        <v>0</v>
      </c>
      <c r="J138" s="34">
        <v>5188</v>
      </c>
    </row>
    <row r="139" spans="1:10" x14ac:dyDescent="0.2">
      <c r="A139" s="32">
        <v>15</v>
      </c>
      <c r="B139" s="32" t="s">
        <v>107</v>
      </c>
      <c r="C139" s="34">
        <v>5000</v>
      </c>
      <c r="D139" s="35">
        <v>5.0000000000000001E-3</v>
      </c>
      <c r="E139" s="36">
        <v>0.05</v>
      </c>
      <c r="F139" s="35">
        <v>3.7499999999999999E-2</v>
      </c>
      <c r="G139" s="34">
        <v>188</v>
      </c>
      <c r="H139" s="42">
        <v>0</v>
      </c>
      <c r="I139" s="34">
        <v>0</v>
      </c>
      <c r="J139" s="34">
        <v>5188</v>
      </c>
    </row>
    <row r="140" spans="1:10" x14ac:dyDescent="0.2">
      <c r="A140" s="32">
        <v>16</v>
      </c>
      <c r="B140" s="32" t="s">
        <v>108</v>
      </c>
      <c r="C140" s="34">
        <v>5000</v>
      </c>
      <c r="D140" s="35">
        <v>5.0000000000000001E-3</v>
      </c>
      <c r="E140" s="36">
        <v>0.05</v>
      </c>
      <c r="F140" s="35">
        <v>0</v>
      </c>
      <c r="G140" s="34">
        <v>0</v>
      </c>
      <c r="H140" s="35">
        <v>5.0000000000000001E-3</v>
      </c>
      <c r="I140" s="34">
        <v>-25</v>
      </c>
      <c r="J140" s="34">
        <v>4975</v>
      </c>
    </row>
    <row r="141" spans="1:10" x14ac:dyDescent="0.2">
      <c r="A141" s="32">
        <v>17</v>
      </c>
      <c r="B141" s="32" t="s">
        <v>94</v>
      </c>
      <c r="C141" s="34">
        <v>5000</v>
      </c>
      <c r="D141" s="35">
        <v>5.0000000000000001E-3</v>
      </c>
      <c r="E141" s="36">
        <v>0.05</v>
      </c>
      <c r="F141" s="35">
        <v>0</v>
      </c>
      <c r="G141" s="34">
        <v>0</v>
      </c>
      <c r="H141" s="35">
        <v>5.0000000000000001E-3</v>
      </c>
      <c r="I141" s="34">
        <v>-25</v>
      </c>
      <c r="J141" s="34">
        <v>4975</v>
      </c>
    </row>
    <row r="142" spans="1:10" x14ac:dyDescent="0.2">
      <c r="A142" s="32">
        <v>18</v>
      </c>
      <c r="B142" s="32" t="s">
        <v>80</v>
      </c>
      <c r="C142" s="34">
        <v>5000</v>
      </c>
      <c r="D142" s="35">
        <v>5.0000000000000001E-3</v>
      </c>
      <c r="E142" s="36">
        <v>0.05</v>
      </c>
      <c r="F142" s="35">
        <v>0</v>
      </c>
      <c r="G142" s="34">
        <v>0</v>
      </c>
      <c r="H142" s="35">
        <v>5.0000000000000001E-3</v>
      </c>
      <c r="I142" s="34">
        <v>-25</v>
      </c>
      <c r="J142" s="34">
        <v>4975</v>
      </c>
    </row>
    <row r="143" spans="1:10" x14ac:dyDescent="0.2">
      <c r="A143" s="32">
        <v>19</v>
      </c>
      <c r="B143" s="32" t="s">
        <v>109</v>
      </c>
      <c r="C143" s="34">
        <v>5000</v>
      </c>
      <c r="D143" s="35">
        <v>5.0000000000000001E-3</v>
      </c>
      <c r="E143" s="36">
        <v>0.05</v>
      </c>
      <c r="F143" s="35">
        <v>0</v>
      </c>
      <c r="G143" s="34">
        <v>0</v>
      </c>
      <c r="H143" s="35">
        <v>5.0000000000000001E-3</v>
      </c>
      <c r="I143" s="34">
        <v>-25</v>
      </c>
      <c r="J143" s="34">
        <v>4975</v>
      </c>
    </row>
    <row r="144" spans="1:10" x14ac:dyDescent="0.2">
      <c r="A144" s="32">
        <v>20</v>
      </c>
      <c r="B144" s="32" t="s">
        <v>72</v>
      </c>
      <c r="C144" s="34">
        <v>5000</v>
      </c>
      <c r="D144" s="35">
        <v>5.0000000000000001E-3</v>
      </c>
      <c r="E144" s="36">
        <v>0.05</v>
      </c>
      <c r="F144" s="35">
        <v>0</v>
      </c>
      <c r="G144" s="34">
        <v>0</v>
      </c>
      <c r="H144" s="35">
        <v>5.0000000000000001E-3</v>
      </c>
      <c r="I144" s="34">
        <v>-25</v>
      </c>
      <c r="J144" s="34">
        <v>4975</v>
      </c>
    </row>
    <row r="145" spans="1:10" x14ac:dyDescent="0.2">
      <c r="A145" s="33" t="s">
        <v>27</v>
      </c>
      <c r="C145" s="38">
        <v>100000</v>
      </c>
      <c r="F145" s="43">
        <f>G145/100000</f>
        <v>2.8250000000000001E-2</v>
      </c>
      <c r="G145" s="38">
        <v>2825</v>
      </c>
      <c r="I145" s="38">
        <v>-125</v>
      </c>
      <c r="J145" s="38"/>
    </row>
  </sheetData>
  <mergeCells count="5">
    <mergeCell ref="A17:J17"/>
    <mergeCell ref="A46:J46"/>
    <mergeCell ref="A73:J73"/>
    <mergeCell ref="A97:J97"/>
    <mergeCell ref="A123:J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2"/>
  <sheetViews>
    <sheetView zoomScale="139" zoomScaleNormal="70" workbookViewId="0">
      <pane xSplit="1" topLeftCell="B1" activePane="topRight" state="frozen"/>
      <selection pane="topRight" activeCell="D14" sqref="D14"/>
    </sheetView>
  </sheetViews>
  <sheetFormatPr baseColWidth="10" defaultRowHeight="16" x14ac:dyDescent="0.2"/>
  <cols>
    <col min="1" max="1" width="26.6640625" bestFit="1" customWidth="1"/>
    <col min="2" max="2" width="23.33203125" style="77" bestFit="1" customWidth="1"/>
    <col min="3" max="3" width="19.5" bestFit="1" customWidth="1"/>
    <col min="4" max="4" width="17.5" bestFit="1" customWidth="1"/>
    <col min="5" max="6" width="14.33203125" bestFit="1" customWidth="1"/>
    <col min="7" max="7" width="12.6640625" customWidth="1"/>
    <col min="8" max="8" width="13.1640625" bestFit="1" customWidth="1"/>
    <col min="9" max="9" width="15" style="97" bestFit="1" customWidth="1"/>
  </cols>
  <sheetData>
    <row r="1" spans="1:32" x14ac:dyDescent="0.2">
      <c r="A1" s="46" t="s">
        <v>110</v>
      </c>
      <c r="B1" s="46" t="s">
        <v>8</v>
      </c>
      <c r="C1" s="46" t="s">
        <v>29</v>
      </c>
      <c r="D1" s="46" t="s">
        <v>40</v>
      </c>
      <c r="E1" s="46" t="s">
        <v>41</v>
      </c>
      <c r="F1" s="46" t="s">
        <v>42</v>
      </c>
      <c r="G1" s="81" t="s">
        <v>137</v>
      </c>
      <c r="H1" s="48" t="s">
        <v>138</v>
      </c>
      <c r="I1" s="96" t="s">
        <v>27</v>
      </c>
    </row>
    <row r="2" spans="1:32" x14ac:dyDescent="0.2">
      <c r="A2" s="171" t="s">
        <v>111</v>
      </c>
      <c r="B2" s="182">
        <v>9</v>
      </c>
      <c r="C2" s="182">
        <v>14</v>
      </c>
      <c r="D2" s="182">
        <v>3</v>
      </c>
      <c r="E2" s="182">
        <v>18</v>
      </c>
      <c r="F2" s="182">
        <v>16</v>
      </c>
      <c r="G2" s="182">
        <v>10</v>
      </c>
      <c r="H2" s="182">
        <v>8</v>
      </c>
      <c r="I2" s="181">
        <f t="shared" ref="I2:I11" si="0">SUM(B2:H2)</f>
        <v>78</v>
      </c>
    </row>
    <row r="3" spans="1:32" ht="30" x14ac:dyDescent="0.2">
      <c r="A3" s="54" t="s">
        <v>121</v>
      </c>
      <c r="B3" s="113">
        <v>10000</v>
      </c>
      <c r="C3" s="113">
        <v>10000</v>
      </c>
      <c r="D3" s="113">
        <v>10000</v>
      </c>
      <c r="E3" s="113">
        <v>10000</v>
      </c>
      <c r="F3" s="113">
        <v>10000</v>
      </c>
      <c r="G3" s="113">
        <v>10000</v>
      </c>
      <c r="H3" s="114">
        <v>10000</v>
      </c>
      <c r="I3" s="99">
        <f t="shared" si="0"/>
        <v>70000</v>
      </c>
    </row>
    <row r="4" spans="1:32" x14ac:dyDescent="0.2">
      <c r="A4" s="56" t="s">
        <v>154</v>
      </c>
      <c r="B4" s="113">
        <v>90000</v>
      </c>
      <c r="C4" s="113">
        <v>140000</v>
      </c>
      <c r="D4" s="113">
        <v>30000</v>
      </c>
      <c r="E4" s="113">
        <v>180000</v>
      </c>
      <c r="F4" s="113">
        <v>160000</v>
      </c>
      <c r="G4" s="113">
        <v>100000</v>
      </c>
      <c r="H4" s="114">
        <v>80000</v>
      </c>
      <c r="I4" s="99">
        <f t="shared" si="0"/>
        <v>780000</v>
      </c>
      <c r="L4" s="82"/>
      <c r="M4" s="85"/>
      <c r="N4" s="86"/>
      <c r="O4" s="86"/>
      <c r="P4" s="86"/>
      <c r="Q4" s="86"/>
      <c r="R4" s="86"/>
      <c r="S4" s="86"/>
      <c r="T4" s="87"/>
    </row>
    <row r="5" spans="1:32" x14ac:dyDescent="0.2">
      <c r="A5" s="53" t="s">
        <v>117</v>
      </c>
      <c r="B5" s="115">
        <v>4</v>
      </c>
      <c r="C5" s="115">
        <v>13</v>
      </c>
      <c r="D5" s="115">
        <v>2</v>
      </c>
      <c r="E5" s="115">
        <v>11</v>
      </c>
      <c r="F5" s="115">
        <v>8</v>
      </c>
      <c r="G5" s="115">
        <v>5</v>
      </c>
      <c r="H5" s="115">
        <v>5</v>
      </c>
      <c r="I5" s="99">
        <f t="shared" si="0"/>
        <v>48</v>
      </c>
      <c r="L5" s="82"/>
      <c r="M5" s="88"/>
      <c r="N5" s="89"/>
      <c r="O5" s="89"/>
      <c r="P5" s="89"/>
      <c r="Q5" s="89"/>
      <c r="R5" s="89"/>
      <c r="S5" s="89"/>
      <c r="T5" s="90"/>
    </row>
    <row r="6" spans="1:32" x14ac:dyDescent="0.2">
      <c r="A6" s="53" t="s">
        <v>118</v>
      </c>
      <c r="B6" s="116">
        <v>5</v>
      </c>
      <c r="C6" s="116">
        <v>1</v>
      </c>
      <c r="D6" s="116">
        <v>1</v>
      </c>
      <c r="E6" s="116">
        <v>7</v>
      </c>
      <c r="F6" s="116">
        <v>8</v>
      </c>
      <c r="G6" s="117">
        <v>5</v>
      </c>
      <c r="H6" s="112">
        <v>3</v>
      </c>
      <c r="I6" s="99">
        <f t="shared" si="0"/>
        <v>30</v>
      </c>
      <c r="L6" s="82"/>
      <c r="M6" s="82"/>
      <c r="N6" s="82"/>
      <c r="O6" s="82"/>
      <c r="P6" s="82"/>
      <c r="Q6" s="82"/>
      <c r="R6" s="82"/>
      <c r="S6" s="82"/>
      <c r="T6" s="82"/>
    </row>
    <row r="7" spans="1:32" x14ac:dyDescent="0.2">
      <c r="A7" s="70" t="s">
        <v>160</v>
      </c>
      <c r="B7" s="127">
        <v>5000</v>
      </c>
      <c r="C7" s="127">
        <v>5000</v>
      </c>
      <c r="D7" s="127">
        <v>5000</v>
      </c>
      <c r="E7" s="127">
        <v>5000</v>
      </c>
      <c r="F7" s="127">
        <v>5000</v>
      </c>
      <c r="G7" s="127">
        <v>5000</v>
      </c>
      <c r="H7" s="127">
        <v>5000</v>
      </c>
      <c r="I7" s="129">
        <f t="shared" si="0"/>
        <v>35000</v>
      </c>
      <c r="L7" s="92"/>
      <c r="M7" s="82"/>
      <c r="N7" s="82"/>
      <c r="O7" s="82"/>
      <c r="P7" s="82"/>
      <c r="Q7" s="82"/>
      <c r="R7" s="82"/>
      <c r="S7" s="82"/>
      <c r="T7" s="82"/>
      <c r="Y7" s="76"/>
      <c r="Z7" s="76"/>
      <c r="AA7" s="76"/>
      <c r="AB7" s="76"/>
      <c r="AC7" s="76"/>
      <c r="AD7" s="76"/>
      <c r="AE7" s="76"/>
      <c r="AF7" s="76"/>
    </row>
    <row r="8" spans="1:32" x14ac:dyDescent="0.2">
      <c r="A8" s="70" t="s">
        <v>161</v>
      </c>
      <c r="B8" s="126">
        <v>0.05</v>
      </c>
      <c r="C8" s="126">
        <v>0.05</v>
      </c>
      <c r="D8" s="126">
        <v>0.05</v>
      </c>
      <c r="E8" s="126">
        <v>0.05</v>
      </c>
      <c r="F8" s="126">
        <v>0.05</v>
      </c>
      <c r="G8" s="126">
        <v>0.05</v>
      </c>
      <c r="H8" s="126">
        <v>0.05</v>
      </c>
      <c r="I8" s="130">
        <f t="shared" si="0"/>
        <v>0.35</v>
      </c>
      <c r="L8" s="92"/>
      <c r="M8" s="82"/>
      <c r="N8" s="82"/>
      <c r="O8" s="82"/>
      <c r="P8" s="82"/>
      <c r="Q8" s="82"/>
      <c r="R8" s="82"/>
      <c r="S8" s="82"/>
      <c r="T8" s="82"/>
      <c r="Y8" s="76"/>
      <c r="Z8" s="76"/>
      <c r="AA8" s="76"/>
      <c r="AB8" s="76"/>
      <c r="AC8" s="76"/>
      <c r="AD8" s="76"/>
      <c r="AE8" s="76"/>
      <c r="AF8" s="76"/>
    </row>
    <row r="9" spans="1:32" x14ac:dyDescent="0.2">
      <c r="A9" s="53" t="s">
        <v>155</v>
      </c>
      <c r="B9" s="118">
        <v>661.08</v>
      </c>
      <c r="C9" s="118">
        <v>317.5</v>
      </c>
      <c r="D9" s="118">
        <v>968.09</v>
      </c>
      <c r="E9" s="118">
        <v>2700</v>
      </c>
      <c r="F9" s="118">
        <v>7231.41</v>
      </c>
      <c r="G9" s="119">
        <v>10324</v>
      </c>
      <c r="H9" s="113">
        <v>7277.03</v>
      </c>
      <c r="I9" s="99">
        <f t="shared" si="0"/>
        <v>29479.11</v>
      </c>
      <c r="L9" s="82"/>
      <c r="M9" s="82"/>
      <c r="N9" s="91"/>
      <c r="O9" s="91"/>
      <c r="P9" s="91"/>
      <c r="Q9" s="91"/>
      <c r="R9" s="91"/>
      <c r="S9" s="91"/>
      <c r="T9" s="91"/>
      <c r="U9" s="73"/>
      <c r="Y9" s="76"/>
      <c r="Z9" s="76"/>
      <c r="AA9" s="76"/>
      <c r="AB9" s="76"/>
      <c r="AC9" s="76"/>
      <c r="AD9" s="76"/>
      <c r="AE9" s="76"/>
      <c r="AF9" s="76"/>
    </row>
    <row r="10" spans="1:32" x14ac:dyDescent="0.2">
      <c r="A10" s="171" t="s">
        <v>183</v>
      </c>
      <c r="B10" s="179">
        <f>B9/B4</f>
        <v>7.3453333333333339E-3</v>
      </c>
      <c r="C10" s="179">
        <f t="shared" ref="C10:H10" si="1">C9/C4</f>
        <v>2.2678571428571426E-3</v>
      </c>
      <c r="D10" s="179">
        <f t="shared" si="1"/>
        <v>3.2269666666666669E-2</v>
      </c>
      <c r="E10" s="179">
        <f t="shared" si="1"/>
        <v>1.4999999999999999E-2</v>
      </c>
      <c r="F10" s="179">
        <f t="shared" si="1"/>
        <v>4.5196312500000002E-2</v>
      </c>
      <c r="G10" s="179">
        <f t="shared" si="1"/>
        <v>0.10324</v>
      </c>
      <c r="H10" s="179">
        <f t="shared" si="1"/>
        <v>9.0962874999999999E-2</v>
      </c>
      <c r="I10" s="180">
        <f>AVERAGE(B10:H10)</f>
        <v>4.2326006377551018E-2</v>
      </c>
      <c r="L10" s="82"/>
      <c r="M10" s="82"/>
      <c r="N10" s="91"/>
      <c r="O10" s="91"/>
      <c r="P10" s="91"/>
      <c r="Q10" s="91"/>
      <c r="R10" s="91"/>
      <c r="S10" s="91"/>
      <c r="T10" s="91"/>
      <c r="U10" s="73"/>
      <c r="Y10" s="76"/>
      <c r="Z10" s="76"/>
      <c r="AA10" s="76"/>
      <c r="AB10" s="76"/>
      <c r="AC10" s="76"/>
      <c r="AD10" s="76"/>
      <c r="AE10" s="76"/>
      <c r="AF10" s="76"/>
    </row>
    <row r="11" spans="1:32" s="104" customFormat="1" x14ac:dyDescent="0.2">
      <c r="A11" s="173" t="s">
        <v>156</v>
      </c>
      <c r="B11" s="174">
        <v>-202.1</v>
      </c>
      <c r="C11" s="174">
        <v>-497.51</v>
      </c>
      <c r="D11" s="174">
        <v>-846.29</v>
      </c>
      <c r="E11" s="174">
        <v>-9958.36</v>
      </c>
      <c r="F11" s="174">
        <v>-1223.55</v>
      </c>
      <c r="G11" s="175">
        <v>-1276.18</v>
      </c>
      <c r="H11" s="176">
        <v>-66.12</v>
      </c>
      <c r="I11" s="177">
        <f t="shared" si="0"/>
        <v>-14070.11</v>
      </c>
      <c r="L11" s="92"/>
      <c r="M11" s="105"/>
      <c r="N11" s="105"/>
      <c r="O11" s="105"/>
      <c r="P11" s="105"/>
      <c r="Q11" s="105"/>
      <c r="R11" s="105"/>
      <c r="S11" s="105"/>
      <c r="T11" s="105"/>
      <c r="Y11" s="106"/>
      <c r="Z11" s="106"/>
      <c r="AA11" s="106"/>
      <c r="AB11" s="106"/>
      <c r="AC11" s="106"/>
      <c r="AD11" s="106"/>
      <c r="AE11" s="106"/>
      <c r="AF11" s="106"/>
    </row>
    <row r="12" spans="1:32" s="104" customFormat="1" x14ac:dyDescent="0.2">
      <c r="A12" s="173" t="s">
        <v>162</v>
      </c>
      <c r="B12" s="178">
        <f t="shared" ref="B12:H12" si="2">B11/B4</f>
        <v>-2.2455555555555553E-3</v>
      </c>
      <c r="C12" s="178">
        <f t="shared" si="2"/>
        <v>-3.5536428571428572E-3</v>
      </c>
      <c r="D12" s="178">
        <f t="shared" si="2"/>
        <v>-2.8209666666666664E-2</v>
      </c>
      <c r="E12" s="178">
        <f t="shared" si="2"/>
        <v>-5.5324222222222226E-2</v>
      </c>
      <c r="F12" s="178">
        <f t="shared" si="2"/>
        <v>-7.6471874999999995E-3</v>
      </c>
      <c r="G12" s="178">
        <f t="shared" si="2"/>
        <v>-1.27618E-2</v>
      </c>
      <c r="H12" s="178">
        <f t="shared" si="2"/>
        <v>-8.2650000000000009E-4</v>
      </c>
      <c r="I12" s="163">
        <f>AVERAGE(B12:H12)</f>
        <v>-1.5795510685941042E-2</v>
      </c>
      <c r="L12" s="105"/>
      <c r="M12" s="105"/>
      <c r="N12" s="107"/>
      <c r="O12" s="107"/>
      <c r="P12" s="107"/>
      <c r="Q12" s="107"/>
      <c r="R12" s="107"/>
      <c r="S12" s="107"/>
      <c r="T12" s="107"/>
      <c r="U12" s="108"/>
      <c r="Y12" s="108"/>
      <c r="Z12" s="108"/>
      <c r="AA12" s="108"/>
      <c r="AB12" s="108"/>
      <c r="AC12" s="108"/>
      <c r="AD12" s="108"/>
      <c r="AE12" s="108"/>
      <c r="AF12" s="108"/>
    </row>
    <row r="13" spans="1:32" x14ac:dyDescent="0.2">
      <c r="A13" s="69" t="s">
        <v>163</v>
      </c>
      <c r="B13" s="122">
        <f t="shared" ref="B13:H13" si="3">SUM(B9:B11)</f>
        <v>458.98734533333334</v>
      </c>
      <c r="C13" s="122">
        <f t="shared" si="3"/>
        <v>-180.00773214285715</v>
      </c>
      <c r="D13" s="122">
        <f t="shared" si="3"/>
        <v>121.83226966666678</v>
      </c>
      <c r="E13" s="122">
        <f t="shared" si="3"/>
        <v>-7258.3450000000012</v>
      </c>
      <c r="F13" s="122">
        <f t="shared" si="3"/>
        <v>6007.9051963124994</v>
      </c>
      <c r="G13" s="122">
        <f t="shared" si="3"/>
        <v>9047.9232400000001</v>
      </c>
      <c r="H13" s="122">
        <f t="shared" si="3"/>
        <v>7211.0009628749995</v>
      </c>
      <c r="I13" s="101">
        <f>SUM(B13:H13)</f>
        <v>15409.296282044641</v>
      </c>
      <c r="L13" s="82"/>
      <c r="M13" s="82"/>
      <c r="N13" s="82"/>
      <c r="O13" s="82"/>
      <c r="P13" s="82"/>
      <c r="Q13" s="82"/>
      <c r="R13" s="82"/>
      <c r="S13" s="82"/>
      <c r="T13" s="82"/>
    </row>
    <row r="14" spans="1:32" x14ac:dyDescent="0.2">
      <c r="A14" s="171" t="s">
        <v>164</v>
      </c>
      <c r="B14" s="172">
        <f t="shared" ref="B14:H14" si="4">B13/B4</f>
        <v>5.099859392592593E-3</v>
      </c>
      <c r="C14" s="172">
        <f t="shared" si="4"/>
        <v>-1.2857695153061224E-3</v>
      </c>
      <c r="D14" s="172">
        <f t="shared" si="4"/>
        <v>4.0610756555555594E-3</v>
      </c>
      <c r="E14" s="172">
        <f t="shared" si="4"/>
        <v>-4.0324138888888895E-2</v>
      </c>
      <c r="F14" s="172">
        <f t="shared" si="4"/>
        <v>3.7549407476953123E-2</v>
      </c>
      <c r="G14" s="172">
        <f t="shared" si="4"/>
        <v>9.0479232399999998E-2</v>
      </c>
      <c r="H14" s="172">
        <f t="shared" si="4"/>
        <v>9.0137512035937492E-2</v>
      </c>
      <c r="I14" s="166">
        <f>SUM(B14:H14)</f>
        <v>0.18571717855684375</v>
      </c>
      <c r="L14" s="82"/>
      <c r="M14" s="82"/>
      <c r="N14" s="93"/>
      <c r="O14" s="93"/>
      <c r="P14" s="93"/>
      <c r="Q14" s="93"/>
      <c r="R14" s="93"/>
      <c r="S14" s="93"/>
      <c r="T14" s="93"/>
      <c r="U14" s="74"/>
    </row>
    <row r="15" spans="1:32" x14ac:dyDescent="0.2">
      <c r="A15" s="58" t="s">
        <v>165</v>
      </c>
      <c r="B15" s="128">
        <f>(B13/B7)</f>
        <v>9.1797469066666665E-2</v>
      </c>
      <c r="C15" s="128">
        <f>C13/C7</f>
        <v>-3.6001546428571431E-2</v>
      </c>
      <c r="D15" s="128">
        <f>D13/D7</f>
        <v>2.4366453933333355E-2</v>
      </c>
      <c r="E15" s="128">
        <f>E13/E7</f>
        <v>-1.4516690000000003</v>
      </c>
      <c r="F15" s="128">
        <f>F13/F7</f>
        <v>1.2015810392624999</v>
      </c>
      <c r="G15" s="128">
        <f>G13/G7</f>
        <v>1.809584648</v>
      </c>
      <c r="H15" s="128">
        <f>H5/H2</f>
        <v>0.625</v>
      </c>
      <c r="I15" s="100">
        <f>AVERAGE(B15:H15)</f>
        <v>0.32352272340484689</v>
      </c>
      <c r="L15" s="82"/>
      <c r="M15" s="90"/>
      <c r="N15" s="94"/>
      <c r="O15" s="94"/>
      <c r="P15" s="94"/>
      <c r="Q15" s="94"/>
      <c r="R15" s="94"/>
      <c r="S15" s="94"/>
      <c r="T15" s="94"/>
      <c r="U15" s="95"/>
    </row>
    <row r="16" spans="1:32" x14ac:dyDescent="0.2">
      <c r="A16" t="s">
        <v>112</v>
      </c>
      <c r="B16" s="79">
        <f t="shared" ref="B16:H16" si="5">B13/B7</f>
        <v>9.1797469066666665E-2</v>
      </c>
      <c r="C16" s="79">
        <f t="shared" si="5"/>
        <v>-3.6001546428571431E-2</v>
      </c>
      <c r="D16" s="79">
        <f t="shared" si="5"/>
        <v>2.4366453933333355E-2</v>
      </c>
      <c r="E16" s="79">
        <f t="shared" si="5"/>
        <v>-1.4516690000000003</v>
      </c>
      <c r="F16" s="79">
        <f t="shared" si="5"/>
        <v>1.2015810392624999</v>
      </c>
      <c r="G16" s="79">
        <f t="shared" si="5"/>
        <v>1.809584648</v>
      </c>
      <c r="H16" s="79">
        <f t="shared" si="5"/>
        <v>1.4422001925749999</v>
      </c>
      <c r="I16" s="132">
        <f>I13/I7</f>
        <v>0.4402656080584183</v>
      </c>
    </row>
    <row r="19" spans="1:32" x14ac:dyDescent="0.2">
      <c r="A19" s="53" t="s">
        <v>157</v>
      </c>
      <c r="B19" s="120">
        <f t="shared" ref="B19:I19" si="6">B11/B9</f>
        <v>-0.30571186543232282</v>
      </c>
      <c r="C19" s="121">
        <f t="shared" si="6"/>
        <v>-1.5669606299212597</v>
      </c>
      <c r="D19" s="120">
        <f t="shared" si="6"/>
        <v>-0.87418525137125669</v>
      </c>
      <c r="E19" s="121">
        <f t="shared" si="6"/>
        <v>-3.6882814814814817</v>
      </c>
      <c r="F19" s="120">
        <f t="shared" si="6"/>
        <v>-0.16919936775815506</v>
      </c>
      <c r="G19" s="120">
        <f t="shared" si="6"/>
        <v>-0.12361294072065092</v>
      </c>
      <c r="H19" s="120">
        <f t="shared" si="6"/>
        <v>-9.0861244216390493E-3</v>
      </c>
      <c r="I19" s="103">
        <f t="shared" si="6"/>
        <v>-0.47729086800788761</v>
      </c>
      <c r="J19" t="s">
        <v>153</v>
      </c>
      <c r="L19" s="92"/>
      <c r="M19" s="82"/>
      <c r="N19" s="82"/>
      <c r="O19" s="82"/>
      <c r="P19" s="82"/>
      <c r="Q19" s="82"/>
      <c r="R19" s="82"/>
      <c r="S19" s="82"/>
      <c r="T19" s="82"/>
      <c r="Y19" s="76"/>
      <c r="Z19" s="76"/>
      <c r="AA19" s="76"/>
      <c r="AB19" s="76"/>
      <c r="AC19" s="76"/>
      <c r="AD19" s="76"/>
      <c r="AE19" s="76"/>
      <c r="AF19" s="76"/>
    </row>
    <row r="22" spans="1:32" x14ac:dyDescent="0.2">
      <c r="A22" s="53" t="s">
        <v>159</v>
      </c>
      <c r="B22" s="123">
        <f t="shared" ref="B22:H22" si="7">B9/B2</f>
        <v>73.453333333333333</v>
      </c>
      <c r="C22" s="123">
        <f t="shared" si="7"/>
        <v>22.678571428571427</v>
      </c>
      <c r="D22" s="123">
        <f t="shared" si="7"/>
        <v>322.69666666666666</v>
      </c>
      <c r="E22" s="123">
        <f t="shared" si="7"/>
        <v>150</v>
      </c>
      <c r="F22" s="123">
        <f t="shared" si="7"/>
        <v>451.96312499999999</v>
      </c>
      <c r="G22" s="123">
        <f t="shared" si="7"/>
        <v>1032.4000000000001</v>
      </c>
      <c r="H22" s="123">
        <f t="shared" si="7"/>
        <v>909.62874999999997</v>
      </c>
      <c r="I22" s="102">
        <f>AVERAGE(B22:H22)</f>
        <v>423.26006377551022</v>
      </c>
      <c r="L22" s="82"/>
      <c r="M22" s="82"/>
      <c r="N22" s="91"/>
      <c r="O22" s="91"/>
      <c r="P22" s="91"/>
      <c r="Q22" s="91"/>
      <c r="R22" s="91"/>
      <c r="S22" s="91"/>
      <c r="T22" s="91"/>
      <c r="U22" s="73"/>
      <c r="Y22" s="73"/>
      <c r="Z22" s="73"/>
      <c r="AA22" s="73"/>
      <c r="AB22" s="73"/>
      <c r="AC22" s="73"/>
      <c r="AD22" s="73"/>
      <c r="AE22" s="73"/>
      <c r="AF22" s="73"/>
    </row>
    <row r="23" spans="1:32" s="78" customFormat="1" x14ac:dyDescent="0.2">
      <c r="A23" s="109" t="s">
        <v>158</v>
      </c>
      <c r="B23" s="124">
        <f>B13/B2</f>
        <v>50.998593925925924</v>
      </c>
      <c r="C23" s="124">
        <f>C13/C2</f>
        <v>-12.857695153061226</v>
      </c>
      <c r="D23" s="124">
        <f>D13/D2</f>
        <v>40.610756555555589</v>
      </c>
      <c r="E23" s="124">
        <f>E13/E2</f>
        <v>-403.24138888888893</v>
      </c>
      <c r="F23" s="124">
        <f>F13/F2</f>
        <v>375.49407476953121</v>
      </c>
      <c r="G23" s="125">
        <f>G11/G3</f>
        <v>-0.12761800000000001</v>
      </c>
      <c r="H23" s="125">
        <f>H11/H3</f>
        <v>-6.6120000000000007E-3</v>
      </c>
      <c r="I23" s="110">
        <f>AVERAGE(B23:H23)</f>
        <v>7.2671587441518009</v>
      </c>
      <c r="L23" s="111"/>
      <c r="M23" s="111"/>
      <c r="N23" s="111"/>
      <c r="O23" s="111"/>
      <c r="P23" s="111"/>
      <c r="Q23" s="111"/>
      <c r="R23" s="111"/>
      <c r="S23" s="111"/>
      <c r="T23" s="111"/>
    </row>
    <row r="24" spans="1:32" x14ac:dyDescent="0.2">
      <c r="A24" s="281" t="s">
        <v>8</v>
      </c>
      <c r="B24" s="281"/>
      <c r="C24" s="281"/>
      <c r="D24" s="281"/>
      <c r="E24" s="281"/>
      <c r="F24" s="281"/>
      <c r="G24" s="281"/>
      <c r="H24" s="281"/>
      <c r="I24" s="281"/>
      <c r="J24" s="281"/>
      <c r="L24" s="82"/>
      <c r="M24" s="82"/>
      <c r="N24" s="93"/>
      <c r="O24" s="93"/>
      <c r="P24" s="93"/>
      <c r="Q24" s="93"/>
      <c r="R24" s="93"/>
      <c r="S24" s="93"/>
      <c r="T24" s="93"/>
      <c r="U24" s="74"/>
      <c r="Y24" s="74"/>
      <c r="Z24" s="74"/>
      <c r="AA24" s="74"/>
      <c r="AB24" s="74"/>
      <c r="AC24" s="74"/>
      <c r="AD24" s="74"/>
      <c r="AE24" s="74"/>
      <c r="AF24" s="74"/>
    </row>
    <row r="25" spans="1:32" x14ac:dyDescent="0.2">
      <c r="A25" s="80" t="s">
        <v>0</v>
      </c>
      <c r="B25" s="28" t="s">
        <v>1</v>
      </c>
      <c r="C25" s="80" t="s">
        <v>131</v>
      </c>
      <c r="D25" s="80" t="s">
        <v>6</v>
      </c>
      <c r="E25" s="80" t="s">
        <v>5</v>
      </c>
      <c r="F25" s="80" t="s">
        <v>3</v>
      </c>
      <c r="G25" s="80" t="s">
        <v>2</v>
      </c>
      <c r="H25" s="80" t="s">
        <v>4</v>
      </c>
      <c r="I25" s="98" t="s">
        <v>9</v>
      </c>
      <c r="J25" s="80" t="s">
        <v>7</v>
      </c>
      <c r="L25" s="82"/>
      <c r="M25" s="82"/>
      <c r="N25" s="91"/>
      <c r="O25" s="91"/>
      <c r="P25" s="91"/>
      <c r="Q25" s="91"/>
      <c r="R25" s="91"/>
      <c r="S25" s="91"/>
      <c r="T25" s="91"/>
      <c r="U25" s="73"/>
      <c r="Y25" s="74"/>
      <c r="Z25" s="74"/>
      <c r="AA25" s="74"/>
      <c r="AB25" s="74"/>
      <c r="AC25" s="74"/>
      <c r="AD25" s="74"/>
      <c r="AE25" s="74"/>
      <c r="AF25" s="74"/>
    </row>
    <row r="26" spans="1:32" x14ac:dyDescent="0.2">
      <c r="A26">
        <v>1</v>
      </c>
      <c r="B26" s="131" t="s">
        <v>85</v>
      </c>
      <c r="C26" s="73">
        <v>10000</v>
      </c>
      <c r="D26" s="74">
        <v>5.0000000000000001E-3</v>
      </c>
      <c r="E26" s="75">
        <v>0.02</v>
      </c>
      <c r="F26" s="74">
        <v>1.6500000000000001E-2</v>
      </c>
      <c r="G26" s="73">
        <v>165.27</v>
      </c>
      <c r="H26" s="74">
        <v>0</v>
      </c>
      <c r="I26" s="97">
        <v>0</v>
      </c>
      <c r="J26" s="73">
        <v>165.27</v>
      </c>
      <c r="L26" s="82"/>
      <c r="M26" s="82"/>
      <c r="N26" s="93"/>
      <c r="O26" s="93"/>
      <c r="P26" s="93"/>
      <c r="Q26" s="93"/>
      <c r="R26" s="93"/>
      <c r="S26" s="93"/>
      <c r="T26" s="93"/>
      <c r="U26" s="74"/>
      <c r="Y26" s="73"/>
      <c r="Z26" s="73"/>
      <c r="AA26" s="73"/>
      <c r="AB26" s="73"/>
      <c r="AC26" s="73"/>
      <c r="AD26" s="73"/>
      <c r="AE26" s="73"/>
      <c r="AF26" s="73"/>
    </row>
    <row r="27" spans="1:32" x14ac:dyDescent="0.2">
      <c r="A27">
        <v>2</v>
      </c>
      <c r="B27" s="131" t="s">
        <v>132</v>
      </c>
      <c r="C27" s="73">
        <v>10000</v>
      </c>
      <c r="D27" s="74">
        <v>5.0000000000000001E-3</v>
      </c>
      <c r="E27" s="75">
        <v>0.02</v>
      </c>
      <c r="F27" s="74">
        <v>1.6500000000000001E-2</v>
      </c>
      <c r="G27" s="73">
        <v>165.27</v>
      </c>
      <c r="H27" s="74">
        <v>0</v>
      </c>
      <c r="I27" s="97">
        <v>0</v>
      </c>
      <c r="J27" s="73">
        <v>165.27</v>
      </c>
      <c r="L27" s="82"/>
      <c r="M27" s="82"/>
      <c r="N27" s="93"/>
      <c r="O27" s="93"/>
      <c r="P27" s="93"/>
      <c r="Q27" s="93"/>
      <c r="R27" s="93"/>
      <c r="S27" s="93"/>
      <c r="T27" s="91"/>
      <c r="U27" s="73"/>
    </row>
    <row r="28" spans="1:32" x14ac:dyDescent="0.2">
      <c r="A28">
        <v>3</v>
      </c>
      <c r="B28" s="131" t="s">
        <v>133</v>
      </c>
      <c r="C28" s="73">
        <v>10000</v>
      </c>
      <c r="D28" s="74">
        <v>5.0000000000000001E-3</v>
      </c>
      <c r="E28" s="75">
        <v>0.02</v>
      </c>
      <c r="F28" s="74">
        <v>1.6500000000000001E-2</v>
      </c>
      <c r="G28" s="73">
        <v>165.27</v>
      </c>
      <c r="H28" s="74">
        <v>0</v>
      </c>
      <c r="I28" s="97">
        <v>0</v>
      </c>
      <c r="J28" s="73">
        <v>165.27</v>
      </c>
      <c r="L28" s="82"/>
      <c r="M28" s="82"/>
      <c r="N28" s="93"/>
      <c r="O28" s="93"/>
      <c r="P28" s="93"/>
      <c r="Q28" s="93"/>
      <c r="R28" s="93"/>
      <c r="S28" s="93"/>
      <c r="T28" s="82"/>
    </row>
    <row r="29" spans="1:32" x14ac:dyDescent="0.2">
      <c r="A29">
        <v>4</v>
      </c>
      <c r="B29" s="131" t="s">
        <v>134</v>
      </c>
      <c r="C29" s="73">
        <v>10000</v>
      </c>
      <c r="D29" s="74">
        <v>5.0000000000000001E-3</v>
      </c>
      <c r="E29" s="75">
        <v>0.03</v>
      </c>
      <c r="F29" s="74">
        <v>1.6500000000000001E-2</v>
      </c>
      <c r="G29" s="73">
        <v>165.27</v>
      </c>
      <c r="H29" s="74">
        <v>0</v>
      </c>
      <c r="I29" s="97">
        <v>0</v>
      </c>
      <c r="J29" s="73">
        <v>165.27</v>
      </c>
      <c r="L29" s="82"/>
      <c r="M29" s="82"/>
      <c r="N29" s="91"/>
      <c r="O29" s="91"/>
      <c r="P29" s="91"/>
      <c r="Q29" s="91"/>
      <c r="R29" s="91"/>
      <c r="S29" s="91"/>
      <c r="T29" s="82"/>
    </row>
    <row r="30" spans="1:32" x14ac:dyDescent="0.2">
      <c r="A30">
        <v>5</v>
      </c>
      <c r="B30" s="131" t="s">
        <v>136</v>
      </c>
      <c r="C30" s="73">
        <v>10000</v>
      </c>
      <c r="D30" s="74">
        <v>5.0000000000000001E-3</v>
      </c>
      <c r="E30" s="75">
        <v>0.02</v>
      </c>
      <c r="F30" s="74">
        <v>0</v>
      </c>
      <c r="G30" s="73">
        <v>0</v>
      </c>
      <c r="H30" s="74">
        <v>4.0000000000000001E-3</v>
      </c>
      <c r="I30" s="97">
        <v>-40.42</v>
      </c>
      <c r="J30" s="73">
        <v>-40.42</v>
      </c>
      <c r="L30" s="82"/>
      <c r="M30" s="82"/>
      <c r="N30" s="82"/>
      <c r="O30" s="82"/>
      <c r="P30" s="82"/>
      <c r="Q30" s="82"/>
      <c r="R30" s="82"/>
      <c r="S30" s="82"/>
      <c r="T30" s="82"/>
    </row>
    <row r="31" spans="1:32" x14ac:dyDescent="0.2">
      <c r="A31">
        <v>6</v>
      </c>
      <c r="B31" s="131" t="s">
        <v>146</v>
      </c>
      <c r="C31" s="73">
        <v>10000</v>
      </c>
      <c r="D31" s="74">
        <v>5.0000000000000001E-3</v>
      </c>
      <c r="E31" s="75">
        <v>0.02</v>
      </c>
      <c r="F31" s="74">
        <v>0</v>
      </c>
      <c r="G31" s="73">
        <v>0</v>
      </c>
      <c r="H31" s="74">
        <v>4.0000000000000001E-3</v>
      </c>
      <c r="I31" s="97">
        <v>-40.42</v>
      </c>
      <c r="J31" s="73">
        <v>-40.42</v>
      </c>
      <c r="L31" s="82"/>
      <c r="M31" s="82"/>
      <c r="N31" s="82"/>
      <c r="O31" s="82"/>
      <c r="P31" s="82"/>
      <c r="Q31" s="82"/>
      <c r="R31" s="82"/>
      <c r="S31" s="82"/>
      <c r="T31" s="82"/>
    </row>
    <row r="32" spans="1:32" x14ac:dyDescent="0.2">
      <c r="A32">
        <v>7</v>
      </c>
      <c r="B32" s="131" t="s">
        <v>132</v>
      </c>
      <c r="C32" s="73">
        <v>10000</v>
      </c>
      <c r="D32" s="74">
        <v>5.0000000000000001E-3</v>
      </c>
      <c r="E32" s="75">
        <v>0.02</v>
      </c>
      <c r="F32" s="74">
        <v>0</v>
      </c>
      <c r="G32" s="73">
        <v>0</v>
      </c>
      <c r="H32" s="74">
        <v>4.0000000000000001E-3</v>
      </c>
      <c r="I32" s="97">
        <v>-40.42</v>
      </c>
      <c r="J32" s="73">
        <v>-40.42</v>
      </c>
    </row>
    <row r="33" spans="1:23" x14ac:dyDescent="0.2">
      <c r="A33">
        <v>8</v>
      </c>
      <c r="B33" s="131" t="s">
        <v>135</v>
      </c>
      <c r="C33" s="73">
        <v>10000</v>
      </c>
      <c r="D33" s="74">
        <v>5.0000000000000001E-3</v>
      </c>
      <c r="E33" s="75">
        <v>0.02</v>
      </c>
      <c r="F33" s="74">
        <v>0</v>
      </c>
      <c r="G33" s="73">
        <v>0</v>
      </c>
      <c r="H33" s="74">
        <v>4.0000000000000001E-3</v>
      </c>
      <c r="I33" s="97">
        <v>-40.42</v>
      </c>
      <c r="J33" s="73">
        <v>-40.42</v>
      </c>
    </row>
    <row r="34" spans="1:23" x14ac:dyDescent="0.2">
      <c r="A34">
        <v>9</v>
      </c>
      <c r="B34" s="131" t="s">
        <v>22</v>
      </c>
      <c r="C34" s="73">
        <v>10000</v>
      </c>
      <c r="D34" s="74">
        <v>5.0000000000000001E-3</v>
      </c>
      <c r="E34" s="75">
        <v>0.02</v>
      </c>
      <c r="F34" s="74">
        <v>0</v>
      </c>
      <c r="G34" s="73">
        <v>0</v>
      </c>
      <c r="H34" s="74">
        <v>4.0000000000000001E-3</v>
      </c>
      <c r="I34" s="97">
        <v>-40.42</v>
      </c>
      <c r="J34" s="73">
        <v>-40.42</v>
      </c>
      <c r="O34" s="80"/>
      <c r="P34" s="80"/>
      <c r="Q34" s="80"/>
      <c r="R34" s="80"/>
      <c r="S34" s="80"/>
    </row>
    <row r="35" spans="1:23" x14ac:dyDescent="0.2">
      <c r="A35" s="80" t="s">
        <v>27</v>
      </c>
      <c r="B35" s="131"/>
      <c r="C35" s="83">
        <v>90000</v>
      </c>
      <c r="F35" s="84">
        <v>6.6000000000000003E-2</v>
      </c>
      <c r="G35" s="83">
        <v>661.08</v>
      </c>
      <c r="H35" s="84">
        <v>2.0199999999999999E-2</v>
      </c>
      <c r="I35" s="98">
        <v>-202.1</v>
      </c>
      <c r="J35" s="83">
        <v>458.98</v>
      </c>
      <c r="N35" s="80"/>
      <c r="Q35" s="73"/>
      <c r="R35" s="74"/>
      <c r="S35" s="73"/>
    </row>
    <row r="36" spans="1:23" x14ac:dyDescent="0.2">
      <c r="Q36" s="73"/>
      <c r="R36" s="74"/>
      <c r="S36" s="73"/>
    </row>
    <row r="37" spans="1:23" x14ac:dyDescent="0.2">
      <c r="A37" s="281" t="s">
        <v>29</v>
      </c>
      <c r="B37" s="281"/>
      <c r="C37" s="281"/>
      <c r="D37" s="281"/>
      <c r="E37" s="281"/>
      <c r="F37" s="281"/>
      <c r="G37" s="281"/>
      <c r="H37" s="281"/>
      <c r="I37" s="281"/>
      <c r="J37" s="281"/>
      <c r="Q37" s="73"/>
      <c r="R37" s="74"/>
      <c r="S37" s="73"/>
    </row>
    <row r="38" spans="1:23" x14ac:dyDescent="0.2">
      <c r="A38" s="80" t="s">
        <v>0</v>
      </c>
      <c r="B38" s="28" t="s">
        <v>1</v>
      </c>
      <c r="C38" s="80" t="s">
        <v>131</v>
      </c>
      <c r="D38" s="80" t="s">
        <v>6</v>
      </c>
      <c r="E38" s="80" t="s">
        <v>5</v>
      </c>
      <c r="F38" s="80" t="s">
        <v>3</v>
      </c>
      <c r="G38" s="80" t="s">
        <v>2</v>
      </c>
      <c r="H38" s="80" t="s">
        <v>4</v>
      </c>
      <c r="I38" s="98" t="s">
        <v>9</v>
      </c>
      <c r="J38" s="80" t="s">
        <v>7</v>
      </c>
      <c r="O38" s="80"/>
      <c r="Q38" s="83"/>
      <c r="R38" s="84"/>
      <c r="S38" s="83"/>
    </row>
    <row r="39" spans="1:23" x14ac:dyDescent="0.2">
      <c r="A39">
        <v>1</v>
      </c>
      <c r="B39" s="131" t="s">
        <v>139</v>
      </c>
      <c r="C39" s="73">
        <v>10000</v>
      </c>
      <c r="D39" s="74">
        <v>5.0000000000000001E-3</v>
      </c>
      <c r="E39" s="75">
        <v>0.02</v>
      </c>
      <c r="F39" s="74">
        <v>2.3999999999999998E-3</v>
      </c>
      <c r="G39" s="73">
        <v>24.43</v>
      </c>
      <c r="H39" s="74">
        <v>0</v>
      </c>
      <c r="I39" s="97">
        <v>0</v>
      </c>
      <c r="J39" s="73">
        <v>24.43</v>
      </c>
      <c r="P39" s="73"/>
      <c r="Q39" s="74"/>
      <c r="R39" s="73"/>
    </row>
    <row r="40" spans="1:23" x14ac:dyDescent="0.2">
      <c r="A40">
        <v>2</v>
      </c>
      <c r="B40" s="131" t="s">
        <v>140</v>
      </c>
      <c r="C40" s="73">
        <v>10000</v>
      </c>
      <c r="D40" s="74">
        <v>5.0000000000000001E-3</v>
      </c>
      <c r="E40" s="75">
        <v>0.02</v>
      </c>
      <c r="F40" s="74">
        <v>2.3999999999999998E-3</v>
      </c>
      <c r="G40" s="73">
        <v>24.43</v>
      </c>
      <c r="H40" s="74">
        <v>0</v>
      </c>
      <c r="I40" s="97">
        <v>0</v>
      </c>
      <c r="J40" s="73">
        <v>24.43</v>
      </c>
      <c r="P40" s="73"/>
      <c r="Q40" s="74"/>
      <c r="R40" s="73"/>
    </row>
    <row r="41" spans="1:23" x14ac:dyDescent="0.2">
      <c r="A41">
        <v>3</v>
      </c>
      <c r="B41" s="131" t="s">
        <v>141</v>
      </c>
      <c r="C41" s="73">
        <v>10000</v>
      </c>
      <c r="D41" s="74">
        <v>5.0000000000000001E-3</v>
      </c>
      <c r="E41" s="75">
        <v>0.02</v>
      </c>
      <c r="F41" s="74">
        <v>2.3999999999999998E-3</v>
      </c>
      <c r="G41" s="73">
        <v>24.43</v>
      </c>
      <c r="H41" s="74">
        <v>0</v>
      </c>
      <c r="I41" s="97">
        <v>0</v>
      </c>
      <c r="J41" s="73">
        <v>24.43</v>
      </c>
      <c r="P41" s="73"/>
      <c r="Q41" s="74"/>
      <c r="R41" s="73"/>
    </row>
    <row r="42" spans="1:23" x14ac:dyDescent="0.2">
      <c r="A42">
        <v>4</v>
      </c>
      <c r="B42" s="131" t="s">
        <v>142</v>
      </c>
      <c r="C42" s="73">
        <v>10000</v>
      </c>
      <c r="D42" s="74">
        <v>5.0000000000000001E-3</v>
      </c>
      <c r="E42" s="75">
        <v>0.02</v>
      </c>
      <c r="F42" s="74">
        <v>2.3999999999999998E-3</v>
      </c>
      <c r="G42" s="73">
        <v>24.43</v>
      </c>
      <c r="H42" s="74">
        <v>0</v>
      </c>
      <c r="I42" s="97">
        <v>0</v>
      </c>
      <c r="J42" s="73">
        <v>24.43</v>
      </c>
      <c r="P42" s="73"/>
      <c r="Q42" s="74"/>
      <c r="R42" s="73"/>
      <c r="S42" s="80"/>
      <c r="T42" s="80"/>
      <c r="U42" s="80"/>
      <c r="V42" s="80"/>
      <c r="W42" s="80"/>
    </row>
    <row r="43" spans="1:23" x14ac:dyDescent="0.2">
      <c r="A43">
        <v>5</v>
      </c>
      <c r="B43" s="131" t="s">
        <v>143</v>
      </c>
      <c r="C43" s="73">
        <v>10000</v>
      </c>
      <c r="D43" s="74">
        <v>5.0000000000000001E-3</v>
      </c>
      <c r="E43" s="75">
        <v>0.03</v>
      </c>
      <c r="F43" s="74">
        <v>2.3999999999999998E-3</v>
      </c>
      <c r="G43" s="73">
        <v>24.42</v>
      </c>
      <c r="H43" s="74">
        <v>0</v>
      </c>
      <c r="I43" s="97">
        <v>0</v>
      </c>
      <c r="J43" s="73">
        <v>24.42</v>
      </c>
      <c r="P43" s="73"/>
      <c r="Q43" s="74"/>
      <c r="R43" s="73"/>
      <c r="U43" s="73"/>
      <c r="V43" s="74"/>
      <c r="W43" s="73"/>
    </row>
    <row r="44" spans="1:23" x14ac:dyDescent="0.2">
      <c r="A44">
        <v>6</v>
      </c>
      <c r="B44" s="131" t="s">
        <v>140</v>
      </c>
      <c r="C44" s="73">
        <v>10000</v>
      </c>
      <c r="D44" s="74">
        <v>5.0000000000000001E-3</v>
      </c>
      <c r="E44" s="75">
        <v>0.02</v>
      </c>
      <c r="F44" s="74">
        <v>2.3999999999999998E-3</v>
      </c>
      <c r="G44" s="73">
        <v>24.42</v>
      </c>
      <c r="H44" s="74">
        <v>0</v>
      </c>
      <c r="I44" s="97">
        <v>0</v>
      </c>
      <c r="J44" s="73">
        <v>24.42</v>
      </c>
      <c r="P44" s="73"/>
      <c r="Q44" s="74"/>
      <c r="R44" s="73"/>
      <c r="U44" s="73"/>
      <c r="V44" s="74"/>
      <c r="W44" s="73"/>
    </row>
    <row r="45" spans="1:23" x14ac:dyDescent="0.2">
      <c r="A45">
        <v>7</v>
      </c>
      <c r="B45" s="131" t="s">
        <v>144</v>
      </c>
      <c r="C45" s="73">
        <v>10000</v>
      </c>
      <c r="D45" s="74">
        <v>5.0000000000000001E-3</v>
      </c>
      <c r="E45" s="75">
        <v>0.02</v>
      </c>
      <c r="F45" s="74">
        <v>2.3999999999999998E-3</v>
      </c>
      <c r="G45" s="73">
        <v>24.42</v>
      </c>
      <c r="H45" s="74">
        <v>0</v>
      </c>
      <c r="I45" s="97">
        <v>0</v>
      </c>
      <c r="J45" s="73">
        <v>24.42</v>
      </c>
      <c r="P45" s="73"/>
      <c r="Q45" s="74"/>
      <c r="R45" s="73"/>
      <c r="U45" s="73"/>
      <c r="V45" s="74"/>
      <c r="W45" s="73"/>
    </row>
    <row r="46" spans="1:23" x14ac:dyDescent="0.2">
      <c r="A46">
        <v>8</v>
      </c>
      <c r="B46" s="131" t="s">
        <v>141</v>
      </c>
      <c r="C46" s="73">
        <v>10000</v>
      </c>
      <c r="D46" s="74">
        <v>5.0000000000000001E-3</v>
      </c>
      <c r="E46" s="75">
        <v>0.02</v>
      </c>
      <c r="F46" s="74">
        <v>2.3999999999999998E-3</v>
      </c>
      <c r="G46" s="73">
        <v>24.42</v>
      </c>
      <c r="H46" s="74">
        <v>0</v>
      </c>
      <c r="I46" s="97">
        <v>0</v>
      </c>
      <c r="J46" s="73">
        <v>24.42</v>
      </c>
      <c r="P46" s="73"/>
      <c r="Q46" s="74"/>
      <c r="R46" s="73"/>
      <c r="U46" s="73"/>
      <c r="V46" s="74"/>
      <c r="W46" s="73"/>
    </row>
    <row r="47" spans="1:23" x14ac:dyDescent="0.2">
      <c r="A47">
        <v>9</v>
      </c>
      <c r="B47" s="131" t="s">
        <v>98</v>
      </c>
      <c r="C47" s="73">
        <v>10000</v>
      </c>
      <c r="D47" s="74">
        <v>5.0000000000000001E-3</v>
      </c>
      <c r="E47" s="75">
        <v>0.02</v>
      </c>
      <c r="F47" s="74">
        <v>2.3999999999999998E-3</v>
      </c>
      <c r="G47" s="73">
        <v>24.42</v>
      </c>
      <c r="H47" s="74">
        <v>0</v>
      </c>
      <c r="I47" s="97">
        <v>0</v>
      </c>
      <c r="J47" s="73">
        <v>24.42</v>
      </c>
      <c r="N47" s="80"/>
      <c r="P47" s="83"/>
      <c r="Q47" s="84"/>
      <c r="R47" s="83"/>
      <c r="U47" s="73"/>
      <c r="V47" s="74"/>
      <c r="W47" s="73"/>
    </row>
    <row r="48" spans="1:23" x14ac:dyDescent="0.2">
      <c r="A48">
        <v>10</v>
      </c>
      <c r="B48" s="131" t="s">
        <v>85</v>
      </c>
      <c r="C48" s="73">
        <v>10000</v>
      </c>
      <c r="D48" s="74">
        <v>5.0000000000000001E-3</v>
      </c>
      <c r="E48" s="75">
        <v>0.02</v>
      </c>
      <c r="F48" s="74">
        <v>2.3999999999999998E-3</v>
      </c>
      <c r="G48" s="73">
        <v>24.42</v>
      </c>
      <c r="H48" s="74">
        <v>0</v>
      </c>
      <c r="I48" s="97">
        <v>0</v>
      </c>
      <c r="J48" s="73">
        <v>24.42</v>
      </c>
      <c r="Q48" s="73"/>
      <c r="R48" s="74"/>
      <c r="U48" s="73"/>
      <c r="V48" s="74"/>
      <c r="W48" s="73"/>
    </row>
    <row r="49" spans="1:23" x14ac:dyDescent="0.2">
      <c r="A49">
        <v>11</v>
      </c>
      <c r="B49" s="131" t="s">
        <v>142</v>
      </c>
      <c r="C49" s="73">
        <v>10000</v>
      </c>
      <c r="D49" s="74">
        <v>5.0000000000000001E-3</v>
      </c>
      <c r="E49" s="75">
        <v>0.02</v>
      </c>
      <c r="F49" s="74">
        <v>2.3999999999999998E-3</v>
      </c>
      <c r="G49" s="73">
        <v>24.42</v>
      </c>
      <c r="H49" s="74">
        <v>0</v>
      </c>
      <c r="I49" s="97">
        <v>0</v>
      </c>
      <c r="J49" s="73">
        <v>24.42</v>
      </c>
      <c r="Q49" s="73"/>
      <c r="R49" s="74"/>
      <c r="U49" s="73"/>
      <c r="V49" s="74"/>
      <c r="W49" s="73"/>
    </row>
    <row r="50" spans="1:23" x14ac:dyDescent="0.2">
      <c r="A50">
        <v>12</v>
      </c>
      <c r="B50" s="32" t="s">
        <v>25</v>
      </c>
      <c r="C50" s="73">
        <v>10000</v>
      </c>
      <c r="D50" s="74">
        <v>5.0000000000000001E-3</v>
      </c>
      <c r="E50" s="75">
        <v>0.02</v>
      </c>
      <c r="F50" s="74">
        <v>2.3999999999999998E-3</v>
      </c>
      <c r="G50" s="73">
        <v>24.42</v>
      </c>
      <c r="H50" s="74">
        <v>0</v>
      </c>
      <c r="I50" s="97">
        <v>0</v>
      </c>
      <c r="J50" s="73">
        <v>24.42</v>
      </c>
      <c r="Q50" s="73"/>
      <c r="R50" s="74"/>
      <c r="U50" s="73"/>
      <c r="V50" s="74"/>
      <c r="W50" s="73"/>
    </row>
    <row r="51" spans="1:23" x14ac:dyDescent="0.2">
      <c r="A51">
        <v>13</v>
      </c>
      <c r="B51" s="131" t="s">
        <v>134</v>
      </c>
      <c r="C51" s="73">
        <v>10000</v>
      </c>
      <c r="D51" s="74">
        <v>5.0000000000000001E-3</v>
      </c>
      <c r="E51" s="75">
        <v>0.02</v>
      </c>
      <c r="F51" s="74">
        <v>2.3999999999999998E-3</v>
      </c>
      <c r="G51" s="73">
        <v>24.42</v>
      </c>
      <c r="H51" s="74">
        <v>0</v>
      </c>
      <c r="I51" s="97">
        <v>0</v>
      </c>
      <c r="J51" s="73">
        <v>24.42</v>
      </c>
      <c r="Q51" s="73"/>
      <c r="R51" s="74"/>
      <c r="U51" s="73"/>
      <c r="V51" s="74"/>
      <c r="W51" s="73"/>
    </row>
    <row r="52" spans="1:23" x14ac:dyDescent="0.2">
      <c r="A52">
        <v>14</v>
      </c>
      <c r="B52" s="131" t="s">
        <v>136</v>
      </c>
      <c r="C52" s="73">
        <v>10000</v>
      </c>
      <c r="D52" s="74">
        <v>5.0000000000000001E-3</v>
      </c>
      <c r="E52" s="75">
        <v>0.02</v>
      </c>
      <c r="F52" s="74">
        <v>0</v>
      </c>
      <c r="G52" s="73">
        <v>0</v>
      </c>
      <c r="H52" s="74">
        <v>4.9799999999999997E-2</v>
      </c>
      <c r="I52" s="97">
        <v>-497.51</v>
      </c>
      <c r="J52" s="73">
        <v>-497.51</v>
      </c>
      <c r="Q52" s="73"/>
      <c r="R52" s="74"/>
      <c r="U52" s="73"/>
      <c r="V52" s="74"/>
      <c r="W52" s="73"/>
    </row>
    <row r="53" spans="1:23" x14ac:dyDescent="0.2">
      <c r="A53" s="80" t="s">
        <v>27</v>
      </c>
      <c r="C53" s="83">
        <v>140000</v>
      </c>
      <c r="F53" s="84">
        <v>3.1699999999999999E-2</v>
      </c>
      <c r="G53" s="83">
        <v>317.5</v>
      </c>
      <c r="H53" s="84">
        <v>4.9799999999999997E-2</v>
      </c>
      <c r="I53" s="98">
        <v>-497.51</v>
      </c>
      <c r="J53" s="83">
        <v>-180.01</v>
      </c>
      <c r="Q53" s="73"/>
      <c r="R53" s="74"/>
      <c r="U53" s="73"/>
      <c r="V53" s="74"/>
      <c r="W53" s="73"/>
    </row>
    <row r="54" spans="1:23" x14ac:dyDescent="0.2">
      <c r="A54" s="281" t="s">
        <v>40</v>
      </c>
      <c r="B54" s="281"/>
      <c r="C54" s="281"/>
      <c r="D54" s="281"/>
      <c r="E54" s="281"/>
      <c r="F54" s="281"/>
      <c r="G54" s="281"/>
      <c r="H54" s="281"/>
      <c r="I54" s="281"/>
      <c r="J54" s="281"/>
      <c r="Q54" s="73"/>
      <c r="R54" s="74"/>
      <c r="S54" s="80"/>
      <c r="U54" s="83"/>
      <c r="V54" s="84"/>
      <c r="W54" s="83"/>
    </row>
    <row r="55" spans="1:23" x14ac:dyDescent="0.2">
      <c r="A55" s="80" t="s">
        <v>0</v>
      </c>
      <c r="B55" s="28" t="s">
        <v>1</v>
      </c>
      <c r="C55" s="80" t="s">
        <v>131</v>
      </c>
      <c r="D55" s="80" t="s">
        <v>6</v>
      </c>
      <c r="E55" s="80" t="s">
        <v>5</v>
      </c>
      <c r="F55" s="80" t="s">
        <v>3</v>
      </c>
      <c r="G55" s="80" t="s">
        <v>2</v>
      </c>
      <c r="H55" s="80" t="s">
        <v>4</v>
      </c>
      <c r="I55" s="98" t="s">
        <v>9</v>
      </c>
      <c r="J55" s="80" t="s">
        <v>7</v>
      </c>
      <c r="Q55" s="73"/>
      <c r="R55" s="74"/>
      <c r="S55" s="73"/>
    </row>
    <row r="56" spans="1:23" x14ac:dyDescent="0.2">
      <c r="A56">
        <v>1</v>
      </c>
      <c r="B56" s="77" t="s">
        <v>97</v>
      </c>
      <c r="C56" s="73">
        <v>10000</v>
      </c>
      <c r="D56" s="74">
        <v>5.0000000000000001E-3</v>
      </c>
      <c r="E56" s="75">
        <v>0.02</v>
      </c>
      <c r="F56" s="74">
        <v>4.8399999999999999E-2</v>
      </c>
      <c r="G56" s="73">
        <v>484.05</v>
      </c>
      <c r="H56" s="74">
        <v>0</v>
      </c>
      <c r="I56" s="97">
        <v>0</v>
      </c>
      <c r="J56" s="73">
        <v>484.05</v>
      </c>
      <c r="Q56" s="73"/>
      <c r="R56" s="74"/>
      <c r="S56" s="73"/>
    </row>
    <row r="57" spans="1:23" x14ac:dyDescent="0.2">
      <c r="A57">
        <v>2</v>
      </c>
      <c r="B57" s="77" t="s">
        <v>145</v>
      </c>
      <c r="C57" s="73">
        <v>10000</v>
      </c>
      <c r="D57" s="74">
        <v>5.0000000000000001E-3</v>
      </c>
      <c r="E57" s="75">
        <v>0.03</v>
      </c>
      <c r="F57" s="74">
        <v>4.8399999999999999E-2</v>
      </c>
      <c r="G57" s="73">
        <v>484.04</v>
      </c>
      <c r="H57" s="74">
        <v>0</v>
      </c>
      <c r="I57" s="97">
        <v>0</v>
      </c>
      <c r="J57" s="73">
        <v>484.04</v>
      </c>
      <c r="Q57" s="73"/>
      <c r="R57" s="74"/>
      <c r="S57" s="73"/>
    </row>
    <row r="58" spans="1:23" x14ac:dyDescent="0.2">
      <c r="A58">
        <v>3</v>
      </c>
      <c r="B58" s="77" t="s">
        <v>140</v>
      </c>
      <c r="C58" s="73">
        <v>10000</v>
      </c>
      <c r="D58" s="74">
        <v>5.0000000000000001E-3</v>
      </c>
      <c r="E58" s="75">
        <v>0.02</v>
      </c>
      <c r="F58" s="74">
        <v>0</v>
      </c>
      <c r="G58" s="73">
        <v>0</v>
      </c>
      <c r="H58" s="74">
        <v>8.4599999999999995E-2</v>
      </c>
      <c r="I58" s="97">
        <v>-846.29</v>
      </c>
      <c r="J58" s="73">
        <v>-846.29</v>
      </c>
      <c r="Q58" s="73"/>
      <c r="R58" s="74"/>
      <c r="S58" s="73"/>
    </row>
    <row r="59" spans="1:23" x14ac:dyDescent="0.2">
      <c r="A59" s="80" t="s">
        <v>27</v>
      </c>
      <c r="C59" s="83">
        <v>30000</v>
      </c>
      <c r="F59" s="84">
        <v>9.6799999999999997E-2</v>
      </c>
      <c r="G59" s="83">
        <v>968.09</v>
      </c>
      <c r="H59" s="84">
        <v>8.4599999999999995E-2</v>
      </c>
      <c r="I59" s="98">
        <v>-846.29</v>
      </c>
      <c r="J59" s="83">
        <v>121.8</v>
      </c>
      <c r="O59" s="80"/>
      <c r="Q59" s="83"/>
      <c r="R59" s="84"/>
      <c r="S59" s="83"/>
    </row>
    <row r="60" spans="1:23" x14ac:dyDescent="0.2">
      <c r="A60">
        <v>5</v>
      </c>
      <c r="B60" s="28" t="s">
        <v>27</v>
      </c>
      <c r="D60" s="83">
        <v>30000</v>
      </c>
      <c r="E60" s="84">
        <v>1.2200000000000001E-2</v>
      </c>
      <c r="F60" s="83">
        <v>121.8</v>
      </c>
      <c r="G60" s="73"/>
      <c r="H60" s="74"/>
      <c r="J60" s="73"/>
    </row>
    <row r="61" spans="1:23" x14ac:dyDescent="0.2">
      <c r="B61" s="28"/>
      <c r="D61" s="83"/>
      <c r="E61" s="84"/>
      <c r="F61" s="83"/>
      <c r="G61" s="73"/>
      <c r="H61" s="74"/>
      <c r="J61" s="73"/>
    </row>
    <row r="62" spans="1:23" x14ac:dyDescent="0.2">
      <c r="A62" s="282" t="s">
        <v>41</v>
      </c>
      <c r="B62" s="282"/>
      <c r="C62" s="282"/>
      <c r="D62" s="282"/>
      <c r="E62" s="282"/>
      <c r="F62" s="282"/>
      <c r="G62" s="282"/>
      <c r="H62" s="282"/>
      <c r="I62" s="282"/>
      <c r="J62" s="282"/>
    </row>
    <row r="63" spans="1:23" x14ac:dyDescent="0.2">
      <c r="A63" s="80" t="s">
        <v>0</v>
      </c>
      <c r="B63" s="28" t="s">
        <v>1</v>
      </c>
      <c r="C63" s="80" t="s">
        <v>131</v>
      </c>
      <c r="D63" s="80" t="s">
        <v>6</v>
      </c>
      <c r="E63" s="80" t="s">
        <v>5</v>
      </c>
      <c r="F63" s="80" t="s">
        <v>3</v>
      </c>
      <c r="G63" s="80" t="s">
        <v>2</v>
      </c>
      <c r="H63" s="80" t="s">
        <v>4</v>
      </c>
      <c r="I63" s="98" t="s">
        <v>9</v>
      </c>
      <c r="J63" s="80" t="s">
        <v>7</v>
      </c>
    </row>
    <row r="64" spans="1:23" x14ac:dyDescent="0.2">
      <c r="A64">
        <v>1</v>
      </c>
      <c r="B64" s="77" t="s">
        <v>85</v>
      </c>
      <c r="C64" s="73">
        <v>10000</v>
      </c>
      <c r="D64" s="74">
        <v>5.0000000000000001E-3</v>
      </c>
      <c r="E64" s="75">
        <v>0.02</v>
      </c>
      <c r="F64" s="74">
        <v>2.4500000000000001E-2</v>
      </c>
      <c r="G64" s="73">
        <v>245.46</v>
      </c>
      <c r="H64" s="74">
        <v>0</v>
      </c>
      <c r="I64" s="97">
        <v>0</v>
      </c>
      <c r="J64" s="73">
        <v>245.46</v>
      </c>
    </row>
    <row r="65" spans="1:18" x14ac:dyDescent="0.2">
      <c r="A65">
        <v>2</v>
      </c>
      <c r="B65" s="77" t="s">
        <v>98</v>
      </c>
      <c r="C65" s="73">
        <v>10000</v>
      </c>
      <c r="D65" s="74">
        <v>5.0000000000000001E-3</v>
      </c>
      <c r="E65" s="75">
        <v>0.02</v>
      </c>
      <c r="F65" s="74">
        <v>2.4500000000000001E-2</v>
      </c>
      <c r="G65" s="73">
        <v>245.46</v>
      </c>
      <c r="H65" s="74">
        <v>0</v>
      </c>
      <c r="I65" s="97">
        <v>0</v>
      </c>
      <c r="J65" s="73">
        <v>245.46</v>
      </c>
    </row>
    <row r="66" spans="1:18" x14ac:dyDescent="0.2">
      <c r="A66">
        <v>3</v>
      </c>
      <c r="B66" s="77" t="s">
        <v>141</v>
      </c>
      <c r="C66" s="73">
        <v>10000</v>
      </c>
      <c r="D66" s="74">
        <v>5.0000000000000001E-3</v>
      </c>
      <c r="E66" s="75">
        <v>0.02</v>
      </c>
      <c r="F66" s="74">
        <v>2.4500000000000001E-2</v>
      </c>
      <c r="G66" s="73">
        <v>245.46</v>
      </c>
      <c r="H66" s="74">
        <v>0</v>
      </c>
      <c r="I66" s="97">
        <v>0</v>
      </c>
      <c r="J66" s="73">
        <v>245.46</v>
      </c>
    </row>
    <row r="67" spans="1:18" x14ac:dyDescent="0.2">
      <c r="A67">
        <v>4</v>
      </c>
      <c r="B67" s="77" t="s">
        <v>147</v>
      </c>
      <c r="C67" s="73">
        <v>10000</v>
      </c>
      <c r="D67" s="74">
        <v>5.0000000000000001E-3</v>
      </c>
      <c r="E67" s="75">
        <v>0.03</v>
      </c>
      <c r="F67" s="74">
        <v>2.4500000000000001E-2</v>
      </c>
      <c r="G67" s="73">
        <v>245.46</v>
      </c>
      <c r="H67" s="74">
        <v>0</v>
      </c>
      <c r="I67" s="97">
        <v>0</v>
      </c>
      <c r="J67" s="73">
        <v>245.46</v>
      </c>
    </row>
    <row r="68" spans="1:18" x14ac:dyDescent="0.2">
      <c r="A68">
        <v>5</v>
      </c>
      <c r="B68" s="77" t="s">
        <v>97</v>
      </c>
      <c r="C68" s="73">
        <v>10000</v>
      </c>
      <c r="D68" s="74">
        <v>5.0000000000000001E-3</v>
      </c>
      <c r="E68" s="75">
        <v>0.02</v>
      </c>
      <c r="F68" s="74">
        <v>2.4500000000000001E-2</v>
      </c>
      <c r="G68" s="73">
        <v>245.46</v>
      </c>
      <c r="H68" s="74">
        <v>0</v>
      </c>
      <c r="I68" s="97">
        <v>0</v>
      </c>
      <c r="J68" s="73">
        <v>245.46</v>
      </c>
    </row>
    <row r="69" spans="1:18" x14ac:dyDescent="0.2">
      <c r="A69">
        <v>6</v>
      </c>
      <c r="B69" s="77" t="s">
        <v>148</v>
      </c>
      <c r="C69" s="73">
        <v>10000</v>
      </c>
      <c r="D69" s="74">
        <v>5.0000000000000001E-3</v>
      </c>
      <c r="E69" s="75">
        <v>0.02</v>
      </c>
      <c r="F69" s="74">
        <v>2.4500000000000001E-2</v>
      </c>
      <c r="G69" s="73">
        <v>245.45</v>
      </c>
      <c r="H69" s="74">
        <v>0</v>
      </c>
      <c r="I69" s="97">
        <v>0</v>
      </c>
      <c r="J69" s="73">
        <v>245.45</v>
      </c>
    </row>
    <row r="70" spans="1:18" x14ac:dyDescent="0.2">
      <c r="A70">
        <v>7</v>
      </c>
      <c r="B70" s="77" t="s">
        <v>147</v>
      </c>
      <c r="C70" s="73">
        <v>10000</v>
      </c>
      <c r="D70" s="74">
        <v>5.0000000000000001E-3</v>
      </c>
      <c r="E70" s="75">
        <v>0.02</v>
      </c>
      <c r="F70" s="74">
        <v>2.4500000000000001E-2</v>
      </c>
      <c r="G70" s="73">
        <v>245.45</v>
      </c>
      <c r="H70" s="74">
        <v>0</v>
      </c>
      <c r="I70" s="97">
        <v>0</v>
      </c>
      <c r="J70" s="73">
        <v>245.45</v>
      </c>
    </row>
    <row r="71" spans="1:18" x14ac:dyDescent="0.2">
      <c r="A71">
        <v>8</v>
      </c>
      <c r="B71" s="77" t="s">
        <v>149</v>
      </c>
      <c r="C71" s="73">
        <v>10000</v>
      </c>
      <c r="D71" s="74">
        <v>5.0000000000000001E-3</v>
      </c>
      <c r="E71" s="75">
        <v>0.02</v>
      </c>
      <c r="F71" s="74">
        <v>2.4500000000000001E-2</v>
      </c>
      <c r="G71" s="73">
        <v>245.45</v>
      </c>
      <c r="H71" s="74">
        <v>0</v>
      </c>
      <c r="I71" s="97">
        <v>0</v>
      </c>
      <c r="J71" s="73">
        <v>245.45</v>
      </c>
    </row>
    <row r="72" spans="1:18" x14ac:dyDescent="0.2">
      <c r="A72">
        <v>9</v>
      </c>
      <c r="B72" s="77" t="s">
        <v>142</v>
      </c>
      <c r="C72" s="73">
        <v>10000</v>
      </c>
      <c r="D72" s="74">
        <v>5.0000000000000001E-3</v>
      </c>
      <c r="E72" s="75">
        <v>0.02</v>
      </c>
      <c r="F72" s="74">
        <v>2.4500000000000001E-2</v>
      </c>
      <c r="G72" s="73">
        <v>245.45</v>
      </c>
      <c r="H72" s="74">
        <v>0</v>
      </c>
      <c r="I72" s="97">
        <v>0</v>
      </c>
      <c r="J72" s="73">
        <v>245.45</v>
      </c>
    </row>
    <row r="73" spans="1:18" x14ac:dyDescent="0.2">
      <c r="A73">
        <v>10</v>
      </c>
      <c r="B73" s="77" t="s">
        <v>148</v>
      </c>
      <c r="C73" s="73">
        <v>10000</v>
      </c>
      <c r="D73" s="74">
        <v>5.0000000000000001E-3</v>
      </c>
      <c r="E73" s="75">
        <v>0.02</v>
      </c>
      <c r="F73" s="74">
        <v>2.4500000000000001E-2</v>
      </c>
      <c r="G73" s="73">
        <v>245.45</v>
      </c>
      <c r="H73" s="74">
        <v>0</v>
      </c>
      <c r="I73" s="97">
        <v>0</v>
      </c>
      <c r="J73" s="73">
        <v>245.45</v>
      </c>
    </row>
    <row r="74" spans="1:18" x14ac:dyDescent="0.2">
      <c r="A74">
        <v>11</v>
      </c>
      <c r="B74" s="77" t="s">
        <v>148</v>
      </c>
      <c r="C74" s="73">
        <v>10000</v>
      </c>
      <c r="D74" s="74">
        <v>5.0000000000000001E-3</v>
      </c>
      <c r="E74" s="75">
        <v>0.02</v>
      </c>
      <c r="F74" s="74">
        <v>2.4500000000000001E-2</v>
      </c>
      <c r="G74" s="73">
        <v>245.45</v>
      </c>
      <c r="H74" s="74">
        <v>0</v>
      </c>
      <c r="I74" s="97">
        <v>0</v>
      </c>
      <c r="J74" s="73">
        <v>245.45</v>
      </c>
    </row>
    <row r="75" spans="1:18" x14ac:dyDescent="0.2">
      <c r="A75">
        <v>12</v>
      </c>
      <c r="B75" s="77" t="s">
        <v>133</v>
      </c>
      <c r="C75" s="73">
        <v>10000</v>
      </c>
      <c r="D75" s="74">
        <v>5.0000000000000001E-3</v>
      </c>
      <c r="E75" s="75">
        <v>0.02</v>
      </c>
      <c r="F75" s="74">
        <v>0</v>
      </c>
      <c r="G75" s="73">
        <v>0</v>
      </c>
      <c r="H75" s="74">
        <v>0.14230000000000001</v>
      </c>
      <c r="I75" s="97">
        <v>-1422.63</v>
      </c>
      <c r="J75" s="73">
        <v>-1422.63</v>
      </c>
    </row>
    <row r="76" spans="1:18" x14ac:dyDescent="0.2">
      <c r="A76">
        <v>13</v>
      </c>
      <c r="B76" s="77" t="s">
        <v>134</v>
      </c>
      <c r="C76" s="73">
        <v>10000</v>
      </c>
      <c r="D76" s="74">
        <v>5.0000000000000001E-3</v>
      </c>
      <c r="E76" s="75">
        <v>0.02</v>
      </c>
      <c r="F76" s="74">
        <v>0</v>
      </c>
      <c r="G76" s="73">
        <v>0</v>
      </c>
      <c r="H76" s="74">
        <v>0.14230000000000001</v>
      </c>
      <c r="I76" s="97">
        <v>-1422.63</v>
      </c>
      <c r="J76" s="73">
        <v>-1422.63</v>
      </c>
    </row>
    <row r="77" spans="1:18" x14ac:dyDescent="0.2">
      <c r="A77">
        <v>14</v>
      </c>
      <c r="B77" s="77" t="s">
        <v>136</v>
      </c>
      <c r="C77" s="73">
        <v>10000</v>
      </c>
      <c r="D77" s="74">
        <v>5.0000000000000001E-3</v>
      </c>
      <c r="E77" s="75">
        <v>0.02</v>
      </c>
      <c r="F77" s="74">
        <v>0</v>
      </c>
      <c r="G77" s="73">
        <v>0</v>
      </c>
      <c r="H77" s="74">
        <v>0.14230000000000001</v>
      </c>
      <c r="I77" s="97">
        <v>-1422.62</v>
      </c>
      <c r="J77" s="73">
        <v>-1422.62</v>
      </c>
    </row>
    <row r="78" spans="1:18" x14ac:dyDescent="0.2">
      <c r="A78">
        <v>15</v>
      </c>
      <c r="B78" s="77" t="s">
        <v>146</v>
      </c>
      <c r="C78" s="73">
        <v>10000</v>
      </c>
      <c r="D78" s="74">
        <v>5.0000000000000001E-3</v>
      </c>
      <c r="E78" s="75">
        <v>0.02</v>
      </c>
      <c r="F78" s="74">
        <v>0</v>
      </c>
      <c r="G78" s="73">
        <v>0</v>
      </c>
      <c r="H78" s="74">
        <v>0.14230000000000001</v>
      </c>
      <c r="I78" s="97">
        <v>-1422.62</v>
      </c>
      <c r="J78" s="73">
        <v>-1422.62</v>
      </c>
      <c r="N78" s="80"/>
      <c r="O78" s="80"/>
      <c r="P78" s="80"/>
      <c r="Q78" s="80"/>
      <c r="R78" s="80"/>
    </row>
    <row r="79" spans="1:18" x14ac:dyDescent="0.2">
      <c r="A79">
        <v>16</v>
      </c>
      <c r="B79" s="77" t="s">
        <v>132</v>
      </c>
      <c r="C79" s="73">
        <v>10000</v>
      </c>
      <c r="D79" s="74">
        <v>5.0000000000000001E-3</v>
      </c>
      <c r="E79" s="75">
        <v>0.02</v>
      </c>
      <c r="F79" s="74">
        <v>0</v>
      </c>
      <c r="G79" s="73">
        <v>0</v>
      </c>
      <c r="H79" s="74">
        <v>0.14230000000000001</v>
      </c>
      <c r="I79" s="97">
        <v>-1422.62</v>
      </c>
      <c r="J79" s="73">
        <v>-1422.62</v>
      </c>
      <c r="P79" s="73"/>
      <c r="Q79" s="74"/>
      <c r="R79" s="73"/>
    </row>
    <row r="80" spans="1:18" x14ac:dyDescent="0.2">
      <c r="A80">
        <v>17</v>
      </c>
      <c r="B80" s="77" t="s">
        <v>135</v>
      </c>
      <c r="C80" s="73">
        <v>10000</v>
      </c>
      <c r="D80" s="74">
        <v>5.0000000000000001E-3</v>
      </c>
      <c r="E80" s="75">
        <v>0.02</v>
      </c>
      <c r="F80" s="74">
        <v>0</v>
      </c>
      <c r="G80" s="73">
        <v>0</v>
      </c>
      <c r="H80" s="74">
        <v>0.14230000000000001</v>
      </c>
      <c r="I80" s="97">
        <v>-1422.62</v>
      </c>
      <c r="J80" s="73">
        <v>-1422.62</v>
      </c>
      <c r="P80" s="73"/>
      <c r="Q80" s="74"/>
      <c r="R80" s="73"/>
    </row>
    <row r="81" spans="1:18" x14ac:dyDescent="0.2">
      <c r="A81">
        <v>18</v>
      </c>
      <c r="B81" s="77" t="s">
        <v>22</v>
      </c>
      <c r="C81" s="73">
        <v>10000</v>
      </c>
      <c r="D81" s="74">
        <v>5.0000000000000001E-3</v>
      </c>
      <c r="E81" s="75">
        <v>0.02</v>
      </c>
      <c r="F81" s="74">
        <v>0</v>
      </c>
      <c r="G81" s="73">
        <v>0</v>
      </c>
      <c r="H81" s="74">
        <v>0.14230000000000001</v>
      </c>
      <c r="I81" s="97">
        <v>-1422.62</v>
      </c>
      <c r="J81" s="73">
        <v>-1422.62</v>
      </c>
      <c r="P81" s="73"/>
      <c r="Q81" s="74"/>
      <c r="R81" s="73"/>
    </row>
    <row r="82" spans="1:18" x14ac:dyDescent="0.2">
      <c r="A82" s="80" t="s">
        <v>27</v>
      </c>
      <c r="C82" s="83">
        <v>180000</v>
      </c>
      <c r="F82" s="84">
        <v>0.27</v>
      </c>
      <c r="G82" s="83">
        <v>2700</v>
      </c>
      <c r="H82" s="84">
        <v>0.99580000000000002</v>
      </c>
      <c r="I82" s="98">
        <v>-9958.36</v>
      </c>
      <c r="J82" s="83">
        <v>-7258.36</v>
      </c>
      <c r="P82" s="73"/>
      <c r="Q82" s="74"/>
      <c r="R82" s="73"/>
    </row>
    <row r="83" spans="1:18" x14ac:dyDescent="0.2">
      <c r="P83" s="73"/>
      <c r="Q83" s="74"/>
      <c r="R83" s="73"/>
    </row>
    <row r="84" spans="1:18" x14ac:dyDescent="0.2">
      <c r="A84" s="282" t="s">
        <v>42</v>
      </c>
      <c r="B84" s="282"/>
      <c r="C84" s="282"/>
      <c r="D84" s="282"/>
      <c r="E84" s="282"/>
      <c r="F84" s="282"/>
      <c r="G84" s="282"/>
      <c r="H84" s="282"/>
      <c r="I84" s="282"/>
      <c r="J84" s="282"/>
      <c r="P84" s="73"/>
      <c r="Q84" s="74"/>
      <c r="R84" s="73"/>
    </row>
    <row r="85" spans="1:18" x14ac:dyDescent="0.2">
      <c r="A85" s="80" t="s">
        <v>0</v>
      </c>
      <c r="B85" s="28" t="s">
        <v>1</v>
      </c>
      <c r="C85" s="80" t="s">
        <v>131</v>
      </c>
      <c r="D85" s="80" t="s">
        <v>6</v>
      </c>
      <c r="E85" s="80" t="s">
        <v>5</v>
      </c>
      <c r="F85" s="80" t="s">
        <v>3</v>
      </c>
      <c r="G85" s="80" t="s">
        <v>2</v>
      </c>
      <c r="H85" s="80" t="s">
        <v>4</v>
      </c>
      <c r="I85" s="98" t="s">
        <v>9</v>
      </c>
      <c r="J85" s="80" t="s">
        <v>7</v>
      </c>
      <c r="P85" s="73"/>
      <c r="Q85" s="74"/>
      <c r="R85" s="73"/>
    </row>
    <row r="86" spans="1:18" x14ac:dyDescent="0.2">
      <c r="A86">
        <v>1</v>
      </c>
      <c r="B86" s="77" t="s">
        <v>150</v>
      </c>
      <c r="C86" s="73">
        <v>10000</v>
      </c>
      <c r="D86" s="74">
        <v>5.0000000000000001E-3</v>
      </c>
      <c r="E86" s="75">
        <v>0.02</v>
      </c>
      <c r="F86" s="74">
        <v>9.0399999999999994E-2</v>
      </c>
      <c r="G86" s="73">
        <v>903.93</v>
      </c>
      <c r="H86" s="74">
        <v>0</v>
      </c>
      <c r="I86" s="97">
        <v>0</v>
      </c>
      <c r="J86" s="73">
        <v>903.93</v>
      </c>
      <c r="P86" s="73"/>
      <c r="Q86" s="74"/>
      <c r="R86" s="73"/>
    </row>
    <row r="87" spans="1:18" x14ac:dyDescent="0.2">
      <c r="A87">
        <v>2</v>
      </c>
      <c r="B87" s="77" t="s">
        <v>97</v>
      </c>
      <c r="C87" s="73">
        <v>10000</v>
      </c>
      <c r="D87" s="74">
        <v>5.0000000000000001E-3</v>
      </c>
      <c r="E87" s="75">
        <v>0.02</v>
      </c>
      <c r="F87" s="74">
        <v>9.0399999999999994E-2</v>
      </c>
      <c r="G87" s="73">
        <v>903.93</v>
      </c>
      <c r="H87" s="74">
        <v>0</v>
      </c>
      <c r="I87" s="97">
        <v>0</v>
      </c>
      <c r="J87" s="73">
        <v>903.93</v>
      </c>
      <c r="P87" s="73"/>
      <c r="Q87" s="74"/>
      <c r="R87" s="73"/>
    </row>
    <row r="88" spans="1:18" x14ac:dyDescent="0.2">
      <c r="A88">
        <v>3</v>
      </c>
      <c r="B88" s="77" t="s">
        <v>151</v>
      </c>
      <c r="C88" s="73">
        <v>10000</v>
      </c>
      <c r="D88" s="74">
        <v>5.0000000000000001E-3</v>
      </c>
      <c r="E88" s="75">
        <v>0.02</v>
      </c>
      <c r="F88" s="74">
        <v>9.0399999999999994E-2</v>
      </c>
      <c r="G88" s="73">
        <v>903.93</v>
      </c>
      <c r="H88" s="74">
        <v>0</v>
      </c>
      <c r="I88" s="97">
        <v>0</v>
      </c>
      <c r="J88" s="73">
        <v>903.93</v>
      </c>
      <c r="P88" s="73"/>
      <c r="Q88" s="74"/>
      <c r="R88" s="73"/>
    </row>
    <row r="89" spans="1:18" x14ac:dyDescent="0.2">
      <c r="A89">
        <v>4</v>
      </c>
      <c r="B89" s="77" t="s">
        <v>85</v>
      </c>
      <c r="C89" s="73">
        <v>10000</v>
      </c>
      <c r="D89" s="74">
        <v>5.0000000000000001E-3</v>
      </c>
      <c r="E89" s="75">
        <v>0.03</v>
      </c>
      <c r="F89" s="74">
        <v>9.0399999999999994E-2</v>
      </c>
      <c r="G89" s="73">
        <v>903.93</v>
      </c>
      <c r="H89" s="74">
        <v>0</v>
      </c>
      <c r="I89" s="97">
        <v>0</v>
      </c>
      <c r="J89" s="73">
        <v>903.93</v>
      </c>
      <c r="P89" s="73"/>
      <c r="Q89" s="74"/>
      <c r="R89" s="73"/>
    </row>
    <row r="90" spans="1:18" x14ac:dyDescent="0.2">
      <c r="A90">
        <v>5</v>
      </c>
      <c r="B90" s="77" t="s">
        <v>68</v>
      </c>
      <c r="C90" s="73">
        <v>10000</v>
      </c>
      <c r="D90" s="74">
        <v>5.0000000000000001E-3</v>
      </c>
      <c r="E90" s="75">
        <v>0.02</v>
      </c>
      <c r="F90" s="74">
        <v>9.0399999999999994E-2</v>
      </c>
      <c r="G90" s="73">
        <v>903.93</v>
      </c>
      <c r="H90" s="74">
        <v>0</v>
      </c>
      <c r="I90" s="97">
        <v>0</v>
      </c>
      <c r="J90" s="73">
        <v>903.93</v>
      </c>
      <c r="P90" s="73"/>
      <c r="Q90" s="74"/>
      <c r="R90" s="73"/>
    </row>
    <row r="91" spans="1:18" x14ac:dyDescent="0.2">
      <c r="A91">
        <v>6</v>
      </c>
      <c r="B91" s="77" t="s">
        <v>68</v>
      </c>
      <c r="C91" s="73">
        <v>10000</v>
      </c>
      <c r="D91" s="74">
        <v>5.0000000000000001E-3</v>
      </c>
      <c r="E91" s="75">
        <v>0.02</v>
      </c>
      <c r="F91" s="74">
        <v>9.0399999999999994E-2</v>
      </c>
      <c r="G91" s="73">
        <v>903.92</v>
      </c>
      <c r="H91" s="74">
        <v>0</v>
      </c>
      <c r="I91" s="97">
        <v>0</v>
      </c>
      <c r="J91" s="73">
        <v>903.92</v>
      </c>
      <c r="P91" s="73"/>
      <c r="Q91" s="74"/>
      <c r="R91" s="73"/>
    </row>
    <row r="92" spans="1:18" x14ac:dyDescent="0.2">
      <c r="A92">
        <v>7</v>
      </c>
      <c r="B92" s="77" t="s">
        <v>68</v>
      </c>
      <c r="C92" s="73">
        <v>10000</v>
      </c>
      <c r="D92" s="74">
        <v>5.0000000000000001E-3</v>
      </c>
      <c r="E92" s="75">
        <v>0.02</v>
      </c>
      <c r="F92" s="74">
        <v>9.0399999999999994E-2</v>
      </c>
      <c r="G92" s="73">
        <v>903.92</v>
      </c>
      <c r="H92" s="74">
        <v>0</v>
      </c>
      <c r="I92" s="97">
        <v>0</v>
      </c>
      <c r="J92" s="73">
        <v>903.92</v>
      </c>
      <c r="P92" s="73"/>
      <c r="Q92" s="74"/>
      <c r="R92" s="73"/>
    </row>
    <row r="93" spans="1:18" x14ac:dyDescent="0.2">
      <c r="A93">
        <v>8</v>
      </c>
      <c r="B93" s="77" t="s">
        <v>68</v>
      </c>
      <c r="C93" s="73">
        <v>10000</v>
      </c>
      <c r="D93" s="74">
        <v>5.0000000000000001E-3</v>
      </c>
      <c r="E93" s="75">
        <v>0.02</v>
      </c>
      <c r="F93" s="74">
        <v>9.0399999999999994E-2</v>
      </c>
      <c r="G93" s="73">
        <v>903.92</v>
      </c>
      <c r="H93" s="74">
        <v>0</v>
      </c>
      <c r="I93" s="97">
        <v>0</v>
      </c>
      <c r="J93" s="73">
        <v>903.92</v>
      </c>
      <c r="P93" s="73"/>
      <c r="Q93" s="74"/>
      <c r="R93" s="73"/>
    </row>
    <row r="94" spans="1:18" x14ac:dyDescent="0.2">
      <c r="A94">
        <v>9</v>
      </c>
      <c r="B94" s="77" t="s">
        <v>97</v>
      </c>
      <c r="C94" s="73">
        <v>10000</v>
      </c>
      <c r="D94" s="74">
        <v>5.0000000000000001E-3</v>
      </c>
      <c r="E94" s="75">
        <v>0.02</v>
      </c>
      <c r="F94" s="74">
        <v>0</v>
      </c>
      <c r="G94" s="73">
        <v>0</v>
      </c>
      <c r="H94" s="74">
        <v>1.9099999999999999E-2</v>
      </c>
      <c r="I94" s="97">
        <v>-152.94999999999999</v>
      </c>
      <c r="J94" s="73">
        <v>-152.94999999999999</v>
      </c>
      <c r="P94" s="73"/>
      <c r="Q94" s="74"/>
      <c r="R94" s="73"/>
    </row>
    <row r="95" spans="1:18" x14ac:dyDescent="0.2">
      <c r="A95">
        <v>10</v>
      </c>
      <c r="B95" s="77" t="s">
        <v>151</v>
      </c>
      <c r="C95" s="73">
        <v>10000</v>
      </c>
      <c r="D95" s="74">
        <v>5.0000000000000001E-3</v>
      </c>
      <c r="E95" s="75">
        <v>0.02</v>
      </c>
      <c r="F95" s="74">
        <v>0</v>
      </c>
      <c r="G95" s="73">
        <v>0</v>
      </c>
      <c r="H95" s="74">
        <v>1.9099999999999999E-2</v>
      </c>
      <c r="I95" s="97">
        <v>-152.94999999999999</v>
      </c>
      <c r="J95" s="73">
        <v>-152.94999999999999</v>
      </c>
      <c r="N95" s="80"/>
      <c r="P95" s="83"/>
      <c r="Q95" s="84"/>
      <c r="R95" s="83"/>
    </row>
    <row r="96" spans="1:18" x14ac:dyDescent="0.2">
      <c r="A96">
        <v>11</v>
      </c>
      <c r="B96" s="77" t="s">
        <v>152</v>
      </c>
      <c r="C96" s="73">
        <v>10000</v>
      </c>
      <c r="D96" s="74">
        <v>5.0000000000000001E-3</v>
      </c>
      <c r="E96" s="75">
        <v>0.02</v>
      </c>
      <c r="F96" s="74">
        <v>0</v>
      </c>
      <c r="G96" s="73">
        <v>0</v>
      </c>
      <c r="H96" s="74">
        <v>1.9099999999999999E-2</v>
      </c>
      <c r="I96" s="97">
        <v>-152.94999999999999</v>
      </c>
      <c r="J96" s="73">
        <v>-152.94999999999999</v>
      </c>
    </row>
    <row r="97" spans="1:10" x14ac:dyDescent="0.2">
      <c r="A97">
        <v>12</v>
      </c>
      <c r="B97" s="77" t="s">
        <v>144</v>
      </c>
      <c r="C97" s="73">
        <v>10000</v>
      </c>
      <c r="D97" s="74">
        <v>5.0000000000000001E-3</v>
      </c>
      <c r="E97" s="75">
        <v>0.02</v>
      </c>
      <c r="F97" s="74">
        <v>0</v>
      </c>
      <c r="G97" s="73">
        <v>0</v>
      </c>
      <c r="H97" s="74">
        <v>1.9099999999999999E-2</v>
      </c>
      <c r="I97" s="97">
        <v>-152.94</v>
      </c>
      <c r="J97" s="73">
        <v>-152.94</v>
      </c>
    </row>
    <row r="98" spans="1:10" x14ac:dyDescent="0.2">
      <c r="A98">
        <v>13</v>
      </c>
      <c r="B98" s="77" t="s">
        <v>144</v>
      </c>
      <c r="C98" s="73">
        <v>10000</v>
      </c>
      <c r="D98" s="74">
        <v>5.0000000000000001E-3</v>
      </c>
      <c r="E98" s="75">
        <v>0.02</v>
      </c>
      <c r="F98" s="74">
        <v>0</v>
      </c>
      <c r="G98" s="73">
        <v>0</v>
      </c>
      <c r="H98" s="74">
        <v>1.9099999999999999E-2</v>
      </c>
      <c r="I98" s="97">
        <v>-152.94</v>
      </c>
      <c r="J98" s="73">
        <v>-152.94</v>
      </c>
    </row>
    <row r="99" spans="1:10" x14ac:dyDescent="0.2">
      <c r="A99">
        <v>14</v>
      </c>
      <c r="B99" s="77" t="s">
        <v>144</v>
      </c>
      <c r="C99" s="73">
        <v>10000</v>
      </c>
      <c r="D99" s="74">
        <v>5.0000000000000001E-3</v>
      </c>
      <c r="E99" s="75">
        <v>0.02</v>
      </c>
      <c r="F99" s="74">
        <v>0</v>
      </c>
      <c r="G99" s="73">
        <v>0</v>
      </c>
      <c r="H99" s="74">
        <v>1.9099999999999999E-2</v>
      </c>
      <c r="I99" s="97">
        <v>-152.94</v>
      </c>
      <c r="J99" s="73">
        <v>-152.94</v>
      </c>
    </row>
    <row r="100" spans="1:10" x14ac:dyDescent="0.2">
      <c r="A100">
        <v>15</v>
      </c>
      <c r="B100" s="77" t="s">
        <v>148</v>
      </c>
      <c r="C100" s="73">
        <v>10000</v>
      </c>
      <c r="D100" s="74">
        <v>5.0000000000000001E-3</v>
      </c>
      <c r="E100" s="75">
        <v>0.02</v>
      </c>
      <c r="F100" s="74">
        <v>0</v>
      </c>
      <c r="G100" s="73">
        <v>0</v>
      </c>
      <c r="H100" s="74">
        <v>1.9099999999999999E-2</v>
      </c>
      <c r="I100" s="97">
        <v>-152.94</v>
      </c>
      <c r="J100" s="73">
        <v>-152.94</v>
      </c>
    </row>
    <row r="101" spans="1:10" x14ac:dyDescent="0.2">
      <c r="A101">
        <v>16</v>
      </c>
      <c r="B101" s="77" t="s">
        <v>148</v>
      </c>
      <c r="C101" s="73">
        <v>10000</v>
      </c>
      <c r="D101" s="74">
        <v>5.0000000000000001E-3</v>
      </c>
      <c r="E101" s="75">
        <v>0.02</v>
      </c>
      <c r="F101" s="74">
        <v>0</v>
      </c>
      <c r="G101" s="73">
        <v>0</v>
      </c>
      <c r="H101" s="74">
        <v>1.9099999999999999E-2</v>
      </c>
      <c r="I101" s="97">
        <v>-152.94</v>
      </c>
      <c r="J101" s="73">
        <v>-152.94</v>
      </c>
    </row>
    <row r="102" spans="1:10" x14ac:dyDescent="0.2">
      <c r="A102" s="80" t="s">
        <v>27</v>
      </c>
      <c r="C102" s="83">
        <v>160000</v>
      </c>
      <c r="F102" s="84">
        <v>0.72309999999999997</v>
      </c>
      <c r="G102" s="83">
        <v>7231.41</v>
      </c>
      <c r="H102" s="84">
        <v>0.12239999999999999</v>
      </c>
      <c r="I102" s="98">
        <v>-1223.55</v>
      </c>
      <c r="J102" s="83">
        <v>6007.86</v>
      </c>
    </row>
  </sheetData>
  <mergeCells count="5">
    <mergeCell ref="A24:J24"/>
    <mergeCell ref="A37:J37"/>
    <mergeCell ref="A54:J54"/>
    <mergeCell ref="A62:J62"/>
    <mergeCell ref="A84:J8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"/>
  <sheetViews>
    <sheetView zoomScale="170" zoomScaleNormal="170" workbookViewId="0">
      <pane xSplit="1" topLeftCell="B1" activePane="topRight" state="frozen"/>
      <selection pane="topRight" activeCell="C17" sqref="C17"/>
    </sheetView>
  </sheetViews>
  <sheetFormatPr baseColWidth="10" defaultRowHeight="16" x14ac:dyDescent="0.2"/>
  <cols>
    <col min="1" max="1" width="24.1640625" bestFit="1" customWidth="1"/>
    <col min="2" max="2" width="23.6640625" bestFit="1" customWidth="1"/>
    <col min="3" max="3" width="20.1640625" bestFit="1" customWidth="1"/>
    <col min="4" max="6" width="11.33203125" bestFit="1" customWidth="1"/>
    <col min="7" max="8" width="11.33203125" customWidth="1"/>
    <col min="9" max="9" width="11.5" bestFit="1" customWidth="1"/>
    <col min="10" max="10" width="13.6640625" bestFit="1" customWidth="1"/>
    <col min="12" max="12" width="19.1640625" bestFit="1" customWidth="1"/>
  </cols>
  <sheetData>
    <row r="1" spans="1:19" x14ac:dyDescent="0.2">
      <c r="A1" s="138" t="s">
        <v>110</v>
      </c>
      <c r="B1" s="138" t="s">
        <v>8</v>
      </c>
      <c r="C1" s="138" t="s">
        <v>29</v>
      </c>
      <c r="D1" s="138" t="s">
        <v>40</v>
      </c>
      <c r="E1" s="138" t="s">
        <v>41</v>
      </c>
      <c r="F1" s="138" t="s">
        <v>42</v>
      </c>
      <c r="G1" s="138"/>
      <c r="H1" s="138"/>
      <c r="I1" s="139" t="s">
        <v>27</v>
      </c>
    </row>
    <row r="2" spans="1:19" x14ac:dyDescent="0.2">
      <c r="A2" s="164" t="s">
        <v>111</v>
      </c>
      <c r="B2" s="170">
        <v>10</v>
      </c>
      <c r="C2" s="170">
        <v>12</v>
      </c>
      <c r="D2" s="170">
        <v>15</v>
      </c>
      <c r="E2" s="170">
        <v>13</v>
      </c>
      <c r="F2" s="170">
        <v>12</v>
      </c>
      <c r="G2" s="170"/>
      <c r="H2" s="170"/>
      <c r="I2" s="169">
        <f t="shared" ref="I2:I9" si="0">SUM(B2:F2)</f>
        <v>62</v>
      </c>
    </row>
    <row r="3" spans="1:19" ht="32" x14ac:dyDescent="0.2">
      <c r="A3" s="142" t="s">
        <v>121</v>
      </c>
      <c r="B3" s="113">
        <v>10000</v>
      </c>
      <c r="C3" s="113">
        <v>10000</v>
      </c>
      <c r="D3" s="113">
        <v>10000</v>
      </c>
      <c r="E3" s="113">
        <v>10000</v>
      </c>
      <c r="F3" s="113">
        <v>10000</v>
      </c>
      <c r="G3" s="113"/>
      <c r="H3" s="113"/>
      <c r="I3" s="133">
        <f t="shared" si="0"/>
        <v>50000</v>
      </c>
    </row>
    <row r="4" spans="1:19" ht="32" x14ac:dyDescent="0.2">
      <c r="A4" s="143" t="s">
        <v>154</v>
      </c>
      <c r="B4" s="113">
        <f>B2*B3</f>
        <v>100000</v>
      </c>
      <c r="C4" s="113">
        <f t="shared" ref="C4:F4" si="1">C2*C3</f>
        <v>120000</v>
      </c>
      <c r="D4" s="113">
        <f t="shared" si="1"/>
        <v>150000</v>
      </c>
      <c r="E4" s="113">
        <f t="shared" si="1"/>
        <v>130000</v>
      </c>
      <c r="F4" s="113">
        <f t="shared" si="1"/>
        <v>120000</v>
      </c>
      <c r="G4" s="113"/>
      <c r="H4" s="113"/>
      <c r="I4" s="133">
        <f t="shared" si="0"/>
        <v>620000</v>
      </c>
    </row>
    <row r="5" spans="1:19" x14ac:dyDescent="0.2">
      <c r="A5" s="140" t="s">
        <v>117</v>
      </c>
      <c r="B5" s="141">
        <v>10</v>
      </c>
      <c r="C5" s="141">
        <v>8</v>
      </c>
      <c r="D5" s="141">
        <v>5</v>
      </c>
      <c r="E5" s="141">
        <v>9</v>
      </c>
      <c r="F5" s="141">
        <v>7</v>
      </c>
      <c r="G5" s="141"/>
      <c r="H5" s="141"/>
      <c r="I5" s="133">
        <f t="shared" si="0"/>
        <v>39</v>
      </c>
    </row>
    <row r="6" spans="1:19" x14ac:dyDescent="0.2">
      <c r="A6" s="140" t="s">
        <v>118</v>
      </c>
      <c r="B6" s="141">
        <v>0</v>
      </c>
      <c r="C6" s="141">
        <v>4</v>
      </c>
      <c r="D6" s="141">
        <v>10</v>
      </c>
      <c r="E6" s="141">
        <v>4</v>
      </c>
      <c r="F6" s="141">
        <v>5</v>
      </c>
      <c r="G6" s="141"/>
      <c r="H6" s="141"/>
      <c r="I6" s="133">
        <f t="shared" si="0"/>
        <v>23</v>
      </c>
    </row>
    <row r="7" spans="1:19" x14ac:dyDescent="0.2">
      <c r="A7" s="144" t="s">
        <v>160</v>
      </c>
      <c r="B7" s="145">
        <v>5000</v>
      </c>
      <c r="C7" s="145">
        <v>5000</v>
      </c>
      <c r="D7" s="145">
        <v>5000</v>
      </c>
      <c r="E7" s="145">
        <v>5000</v>
      </c>
      <c r="F7" s="145">
        <v>5000</v>
      </c>
      <c r="G7" s="145"/>
      <c r="H7" s="145"/>
      <c r="I7" s="134">
        <f t="shared" si="0"/>
        <v>25000</v>
      </c>
    </row>
    <row r="8" spans="1:19" x14ac:dyDescent="0.2">
      <c r="A8" s="144" t="s">
        <v>161</v>
      </c>
      <c r="B8" s="146">
        <v>0.05</v>
      </c>
      <c r="C8" s="146">
        <v>0.05</v>
      </c>
      <c r="D8" s="146">
        <v>0.05</v>
      </c>
      <c r="E8" s="146">
        <v>0.05</v>
      </c>
      <c r="F8" s="146">
        <v>0.05</v>
      </c>
      <c r="G8" s="146"/>
      <c r="H8" s="146"/>
      <c r="I8" s="135">
        <f t="shared" si="0"/>
        <v>0.25</v>
      </c>
    </row>
    <row r="9" spans="1:19" x14ac:dyDescent="0.2">
      <c r="A9" s="140" t="s">
        <v>155</v>
      </c>
      <c r="B9" s="147">
        <v>2000</v>
      </c>
      <c r="C9" s="147">
        <v>2200</v>
      </c>
      <c r="D9" s="147">
        <v>1250</v>
      </c>
      <c r="E9" s="147">
        <v>2450</v>
      </c>
      <c r="F9" s="147">
        <v>4553</v>
      </c>
      <c r="G9" s="147"/>
      <c r="H9" s="147"/>
      <c r="I9" s="133">
        <f t="shared" si="0"/>
        <v>12453</v>
      </c>
      <c r="L9" s="80"/>
      <c r="M9" s="80"/>
      <c r="N9" s="80"/>
      <c r="O9" s="80"/>
      <c r="P9" s="80"/>
      <c r="Q9" s="80"/>
      <c r="R9" s="80"/>
      <c r="S9" s="80"/>
    </row>
    <row r="10" spans="1:19" x14ac:dyDescent="0.2">
      <c r="A10" s="164" t="s">
        <v>183</v>
      </c>
      <c r="B10" s="168">
        <f>B9/B4</f>
        <v>0.02</v>
      </c>
      <c r="C10" s="168">
        <f t="shared" ref="C10:F10" si="2">C9/C4</f>
        <v>1.8333333333333333E-2</v>
      </c>
      <c r="D10" s="168">
        <f t="shared" si="2"/>
        <v>8.3333333333333332E-3</v>
      </c>
      <c r="E10" s="168">
        <f t="shared" si="2"/>
        <v>1.8846153846153846E-2</v>
      </c>
      <c r="F10" s="168">
        <f t="shared" si="2"/>
        <v>3.7941666666666665E-2</v>
      </c>
      <c r="G10" s="168"/>
      <c r="H10" s="168"/>
      <c r="I10" s="167">
        <f>AVERAGE(B10:F10)</f>
        <v>2.0690897435897436E-2</v>
      </c>
      <c r="L10" s="80"/>
      <c r="M10" s="80"/>
      <c r="N10" s="80"/>
      <c r="O10" s="80"/>
      <c r="P10" s="80"/>
      <c r="Q10" s="80"/>
      <c r="R10" s="80"/>
      <c r="S10" s="80"/>
    </row>
    <row r="11" spans="1:19" x14ac:dyDescent="0.2">
      <c r="A11" s="159" t="s">
        <v>156</v>
      </c>
      <c r="B11" s="160">
        <v>0</v>
      </c>
      <c r="C11" s="160">
        <v>-200</v>
      </c>
      <c r="D11" s="160">
        <v>-500</v>
      </c>
      <c r="E11" s="160">
        <v>-200</v>
      </c>
      <c r="F11" s="160">
        <v>-250</v>
      </c>
      <c r="G11" s="160"/>
      <c r="H11" s="160"/>
      <c r="I11" s="161">
        <f>SUM(B11:F11)</f>
        <v>-1150</v>
      </c>
      <c r="L11" s="80"/>
      <c r="R11" s="80"/>
      <c r="S11" s="80"/>
    </row>
    <row r="12" spans="1:19" x14ac:dyDescent="0.2">
      <c r="A12" s="159" t="s">
        <v>162</v>
      </c>
      <c r="B12" s="162">
        <f t="shared" ref="B12:F12" si="3">B11/B4</f>
        <v>0</v>
      </c>
      <c r="C12" s="162">
        <f t="shared" si="3"/>
        <v>-1.6666666666666668E-3</v>
      </c>
      <c r="D12" s="162">
        <f t="shared" si="3"/>
        <v>-3.3333333333333335E-3</v>
      </c>
      <c r="E12" s="162">
        <f t="shared" si="3"/>
        <v>-1.5384615384615385E-3</v>
      </c>
      <c r="F12" s="162">
        <f t="shared" si="3"/>
        <v>-2.0833333333333333E-3</v>
      </c>
      <c r="G12" s="162"/>
      <c r="H12" s="162"/>
      <c r="I12" s="163">
        <f>SUM(B12:F12)</f>
        <v>-8.621794871794871E-3</v>
      </c>
      <c r="L12" s="80"/>
      <c r="R12" s="80"/>
      <c r="S12" s="80"/>
    </row>
    <row r="13" spans="1:19" x14ac:dyDescent="0.2">
      <c r="A13" s="148" t="s">
        <v>163</v>
      </c>
      <c r="B13" s="149">
        <f>B9+B11</f>
        <v>2000</v>
      </c>
      <c r="C13" s="149">
        <f t="shared" ref="C13:F13" si="4">C9+C11</f>
        <v>2000</v>
      </c>
      <c r="D13" s="149">
        <f t="shared" si="4"/>
        <v>750</v>
      </c>
      <c r="E13" s="149">
        <f t="shared" si="4"/>
        <v>2250</v>
      </c>
      <c r="F13" s="149">
        <f t="shared" si="4"/>
        <v>4303</v>
      </c>
      <c r="G13" s="149"/>
      <c r="H13" s="149"/>
      <c r="I13" s="136">
        <f>SUM(B13:F13)</f>
        <v>11303</v>
      </c>
      <c r="L13" s="80"/>
      <c r="R13" s="80"/>
      <c r="S13" s="80"/>
    </row>
    <row r="14" spans="1:19" x14ac:dyDescent="0.2">
      <c r="A14" s="164" t="s">
        <v>164</v>
      </c>
      <c r="B14" s="165">
        <f t="shared" ref="B14:F14" si="5">B13/B4</f>
        <v>0.02</v>
      </c>
      <c r="C14" s="165">
        <f t="shared" si="5"/>
        <v>1.6666666666666666E-2</v>
      </c>
      <c r="D14" s="165">
        <f t="shared" si="5"/>
        <v>5.0000000000000001E-3</v>
      </c>
      <c r="E14" s="165">
        <f t="shared" si="5"/>
        <v>1.7307692307692309E-2</v>
      </c>
      <c r="F14" s="165">
        <f t="shared" si="5"/>
        <v>3.5858333333333332E-2</v>
      </c>
      <c r="G14" s="165"/>
      <c r="H14" s="165"/>
      <c r="I14" s="166">
        <f>SUM(B14:F14)</f>
        <v>9.4832692307692312E-2</v>
      </c>
      <c r="L14" s="80"/>
      <c r="M14" s="73"/>
      <c r="N14" s="73"/>
      <c r="O14" s="73"/>
      <c r="P14" s="73"/>
      <c r="Q14" s="73"/>
      <c r="R14" s="83"/>
      <c r="S14" s="83"/>
    </row>
    <row r="15" spans="1:19" x14ac:dyDescent="0.2">
      <c r="A15" s="150" t="s">
        <v>165</v>
      </c>
      <c r="B15" s="151">
        <f>(B13/B7)</f>
        <v>0.4</v>
      </c>
      <c r="C15" s="151">
        <f>C13/C7</f>
        <v>0.4</v>
      </c>
      <c r="D15" s="151">
        <f>D13/D7</f>
        <v>0.15</v>
      </c>
      <c r="E15" s="151">
        <f>E13/E7</f>
        <v>0.45</v>
      </c>
      <c r="F15" s="151">
        <f>F13/F7</f>
        <v>0.86060000000000003</v>
      </c>
      <c r="G15" s="151"/>
      <c r="H15" s="151"/>
      <c r="I15" s="137">
        <f>AVERAGE(B15:F15)</f>
        <v>0.45212000000000002</v>
      </c>
      <c r="L15" s="80"/>
      <c r="M15" s="73"/>
      <c r="N15" s="73"/>
      <c r="O15" s="73"/>
      <c r="P15" s="73"/>
      <c r="Q15" s="73"/>
      <c r="R15" s="83"/>
      <c r="S15" s="83"/>
    </row>
    <row r="16" spans="1:19" x14ac:dyDescent="0.2">
      <c r="A16" s="141" t="s">
        <v>112</v>
      </c>
      <c r="B16" s="132">
        <f>B5/B2</f>
        <v>1</v>
      </c>
      <c r="C16" s="132">
        <f t="shared" ref="C16:F16" si="6">C5/C2</f>
        <v>0.66666666666666663</v>
      </c>
      <c r="D16" s="132">
        <f t="shared" si="6"/>
        <v>0.33333333333333331</v>
      </c>
      <c r="E16" s="132">
        <f t="shared" si="6"/>
        <v>0.69230769230769229</v>
      </c>
      <c r="F16" s="132">
        <f t="shared" si="6"/>
        <v>0.58333333333333337</v>
      </c>
      <c r="G16" s="132"/>
      <c r="H16" s="132"/>
      <c r="I16" s="132">
        <f>I5/I2</f>
        <v>0.62903225806451613</v>
      </c>
    </row>
    <row r="17" spans="1:12" x14ac:dyDescent="0.2">
      <c r="A17" s="140" t="s">
        <v>157</v>
      </c>
      <c r="B17" s="153">
        <f>B11/B9</f>
        <v>0</v>
      </c>
      <c r="C17" s="154">
        <f>C11/C9</f>
        <v>-9.0909090909090912E-2</v>
      </c>
      <c r="D17" s="154">
        <f>D11/D9</f>
        <v>-0.4</v>
      </c>
      <c r="E17" s="154">
        <f>E11/E9</f>
        <v>-8.1632653061224483E-2</v>
      </c>
      <c r="F17" s="154">
        <f>F11/F9</f>
        <v>-5.490885130683066E-2</v>
      </c>
      <c r="G17" s="192"/>
      <c r="H17" s="192"/>
      <c r="I17" s="103">
        <f>I11/I9</f>
        <v>-9.2347225568136196E-2</v>
      </c>
    </row>
    <row r="18" spans="1:12" x14ac:dyDescent="0.2">
      <c r="A18" s="152"/>
      <c r="B18" s="27"/>
      <c r="C18" s="152"/>
      <c r="D18" s="152"/>
      <c r="E18" s="152"/>
      <c r="F18" s="152"/>
      <c r="G18" s="152"/>
      <c r="H18" s="152"/>
      <c r="I18" s="97"/>
    </row>
    <row r="19" spans="1:12" x14ac:dyDescent="0.2">
      <c r="A19" s="152"/>
      <c r="B19" s="27"/>
      <c r="C19" s="152"/>
      <c r="D19" s="152"/>
      <c r="E19" s="152"/>
      <c r="F19" s="152"/>
      <c r="G19" s="152"/>
      <c r="H19" s="152"/>
      <c r="I19" s="97"/>
    </row>
    <row r="20" spans="1:12" x14ac:dyDescent="0.2">
      <c r="A20" s="281" t="s">
        <v>8</v>
      </c>
      <c r="B20" s="281"/>
      <c r="C20" s="281"/>
      <c r="D20" s="281"/>
      <c r="E20" s="281"/>
      <c r="F20" s="281"/>
      <c r="G20" s="281"/>
      <c r="H20" s="281"/>
      <c r="I20" s="281"/>
      <c r="J20" s="281"/>
      <c r="K20" s="281"/>
      <c r="L20" s="281"/>
    </row>
    <row r="21" spans="1:12" x14ac:dyDescent="0.2">
      <c r="A21" s="80" t="s">
        <v>182</v>
      </c>
      <c r="B21" s="28" t="s">
        <v>1</v>
      </c>
      <c r="C21" s="80" t="s">
        <v>131</v>
      </c>
      <c r="D21" s="80" t="s">
        <v>6</v>
      </c>
      <c r="E21" s="80" t="s">
        <v>5</v>
      </c>
      <c r="F21" s="80" t="s">
        <v>3</v>
      </c>
      <c r="G21" s="80"/>
      <c r="H21" s="80"/>
      <c r="I21" s="80" t="s">
        <v>2</v>
      </c>
      <c r="J21" s="80" t="s">
        <v>4</v>
      </c>
      <c r="K21" s="98" t="s">
        <v>9</v>
      </c>
      <c r="L21" s="80" t="s">
        <v>7</v>
      </c>
    </row>
    <row r="22" spans="1:12" x14ac:dyDescent="0.2">
      <c r="A22">
        <v>1</v>
      </c>
      <c r="B22" s="131" t="s">
        <v>16</v>
      </c>
      <c r="C22" s="73">
        <v>10000</v>
      </c>
      <c r="D22" s="74">
        <v>5.0000000000000001E-3</v>
      </c>
      <c r="E22" s="75">
        <v>0.02</v>
      </c>
      <c r="F22" s="74">
        <v>0.02</v>
      </c>
      <c r="G22" s="74"/>
      <c r="H22" s="74"/>
      <c r="I22" s="73">
        <v>200</v>
      </c>
      <c r="J22" s="74">
        <v>0</v>
      </c>
      <c r="K22" s="97" t="s">
        <v>166</v>
      </c>
      <c r="L22" s="73">
        <v>200</v>
      </c>
    </row>
    <row r="23" spans="1:12" x14ac:dyDescent="0.2">
      <c r="A23">
        <v>2</v>
      </c>
      <c r="B23" s="131" t="s">
        <v>12</v>
      </c>
      <c r="C23" s="73">
        <v>10000</v>
      </c>
      <c r="D23" s="74">
        <v>5.0000000000000001E-3</v>
      </c>
      <c r="E23" s="75">
        <v>0.02</v>
      </c>
      <c r="F23" s="74">
        <v>0.02</v>
      </c>
      <c r="G23" s="74"/>
      <c r="H23" s="74"/>
      <c r="I23" s="73">
        <v>200</v>
      </c>
      <c r="J23" s="74">
        <v>0</v>
      </c>
      <c r="K23" s="97" t="s">
        <v>166</v>
      </c>
      <c r="L23" s="73">
        <v>200</v>
      </c>
    </row>
    <row r="24" spans="1:12" x14ac:dyDescent="0.2">
      <c r="A24">
        <v>3</v>
      </c>
      <c r="B24" s="131" t="s">
        <v>13</v>
      </c>
      <c r="C24" s="73">
        <v>10000</v>
      </c>
      <c r="D24" s="74">
        <v>5.0000000000000001E-3</v>
      </c>
      <c r="E24" s="75">
        <v>0.02</v>
      </c>
      <c r="F24" s="74">
        <v>0.02</v>
      </c>
      <c r="G24" s="74"/>
      <c r="H24" s="74"/>
      <c r="I24" s="73">
        <v>200</v>
      </c>
      <c r="J24" s="74">
        <v>0</v>
      </c>
      <c r="K24" s="97" t="s">
        <v>166</v>
      </c>
      <c r="L24" s="73">
        <v>200</v>
      </c>
    </row>
    <row r="25" spans="1:12" x14ac:dyDescent="0.2">
      <c r="A25">
        <v>4</v>
      </c>
      <c r="B25" s="131" t="s">
        <v>25</v>
      </c>
      <c r="C25" s="73">
        <v>10000</v>
      </c>
      <c r="D25" s="74">
        <v>5.0000000000000001E-3</v>
      </c>
      <c r="E25" s="75">
        <v>0.02</v>
      </c>
      <c r="F25" s="74">
        <v>0.02</v>
      </c>
      <c r="G25" s="74"/>
      <c r="H25" s="74"/>
      <c r="I25" s="73">
        <v>200</v>
      </c>
      <c r="J25" s="74">
        <v>0</v>
      </c>
      <c r="K25" s="97" t="s">
        <v>166</v>
      </c>
      <c r="L25" s="73">
        <v>200</v>
      </c>
    </row>
    <row r="26" spans="1:12" x14ac:dyDescent="0.2">
      <c r="A26">
        <v>5</v>
      </c>
      <c r="B26" s="131" t="s">
        <v>10</v>
      </c>
      <c r="C26" s="73">
        <v>10000</v>
      </c>
      <c r="D26" s="74">
        <v>5.0000000000000001E-3</v>
      </c>
      <c r="E26" s="75">
        <v>0.02</v>
      </c>
      <c r="F26" s="74">
        <v>0.02</v>
      </c>
      <c r="G26" s="74"/>
      <c r="H26" s="74"/>
      <c r="I26" s="73">
        <v>200</v>
      </c>
      <c r="J26" s="74">
        <v>0</v>
      </c>
      <c r="K26" s="97" t="s">
        <v>166</v>
      </c>
      <c r="L26" s="73">
        <v>200</v>
      </c>
    </row>
    <row r="27" spans="1:12" x14ac:dyDescent="0.2">
      <c r="A27">
        <v>6</v>
      </c>
      <c r="B27" s="131" t="s">
        <v>11</v>
      </c>
      <c r="C27" s="73">
        <v>10000</v>
      </c>
      <c r="D27" s="74">
        <v>5.0000000000000001E-3</v>
      </c>
      <c r="E27" s="75">
        <v>0.02</v>
      </c>
      <c r="F27" s="74">
        <v>0.02</v>
      </c>
      <c r="G27" s="74"/>
      <c r="H27" s="74"/>
      <c r="I27" s="73">
        <v>200</v>
      </c>
      <c r="J27" s="74">
        <v>0</v>
      </c>
      <c r="K27" s="97" t="s">
        <v>166</v>
      </c>
      <c r="L27" s="73">
        <v>200</v>
      </c>
    </row>
    <row r="28" spans="1:12" x14ac:dyDescent="0.2">
      <c r="A28">
        <v>7</v>
      </c>
      <c r="B28" s="131" t="s">
        <v>30</v>
      </c>
      <c r="C28" s="73">
        <v>10000</v>
      </c>
      <c r="D28" s="74">
        <v>5.0000000000000001E-3</v>
      </c>
      <c r="E28" s="75">
        <v>0.02</v>
      </c>
      <c r="F28" s="74">
        <v>0.02</v>
      </c>
      <c r="G28" s="74"/>
      <c r="H28" s="74"/>
      <c r="I28" s="73">
        <v>200</v>
      </c>
      <c r="J28" s="74">
        <v>0</v>
      </c>
      <c r="K28" s="97" t="s">
        <v>166</v>
      </c>
      <c r="L28" s="73">
        <v>200</v>
      </c>
    </row>
    <row r="29" spans="1:12" x14ac:dyDescent="0.2">
      <c r="A29">
        <v>8</v>
      </c>
      <c r="B29" s="131" t="s">
        <v>14</v>
      </c>
      <c r="C29" s="73">
        <v>10000</v>
      </c>
      <c r="D29" s="74">
        <v>5.0000000000000001E-3</v>
      </c>
      <c r="E29" s="75">
        <v>0.02</v>
      </c>
      <c r="F29" s="74">
        <v>0.02</v>
      </c>
      <c r="G29" s="74"/>
      <c r="H29" s="74"/>
      <c r="I29" s="73">
        <v>200</v>
      </c>
      <c r="J29" s="74">
        <v>0</v>
      </c>
      <c r="K29" s="97" t="s">
        <v>166</v>
      </c>
      <c r="L29" s="73">
        <v>200</v>
      </c>
    </row>
    <row r="30" spans="1:12" x14ac:dyDescent="0.2">
      <c r="A30">
        <v>9</v>
      </c>
      <c r="B30" s="131" t="s">
        <v>33</v>
      </c>
      <c r="C30" s="73">
        <v>10000</v>
      </c>
      <c r="D30" s="74">
        <v>5.0000000000000001E-3</v>
      </c>
      <c r="E30" s="75">
        <v>0.02</v>
      </c>
      <c r="F30" s="74">
        <v>0.02</v>
      </c>
      <c r="G30" s="74"/>
      <c r="H30" s="74"/>
      <c r="I30" s="73">
        <v>200</v>
      </c>
      <c r="J30" s="74">
        <v>0</v>
      </c>
      <c r="K30" s="97" t="s">
        <v>166</v>
      </c>
      <c r="L30" s="73">
        <v>200</v>
      </c>
    </row>
    <row r="31" spans="1:12" s="152" customFormat="1" x14ac:dyDescent="0.2">
      <c r="A31" s="152">
        <v>10</v>
      </c>
      <c r="B31" s="27" t="s">
        <v>15</v>
      </c>
      <c r="C31" s="155">
        <v>10000</v>
      </c>
      <c r="D31" s="156">
        <v>5.0000000000000001E-3</v>
      </c>
      <c r="E31" s="157">
        <v>0.02</v>
      </c>
      <c r="F31" s="156">
        <v>0.02</v>
      </c>
      <c r="G31" s="156"/>
      <c r="H31" s="156"/>
      <c r="I31" s="155">
        <v>200</v>
      </c>
      <c r="J31" s="156">
        <v>0</v>
      </c>
      <c r="K31" s="158" t="s">
        <v>166</v>
      </c>
      <c r="L31" s="155">
        <v>200</v>
      </c>
    </row>
    <row r="32" spans="1:12" x14ac:dyDescent="0.2">
      <c r="B32" s="131"/>
      <c r="K32" s="97"/>
    </row>
    <row r="33" spans="1:12" x14ac:dyDescent="0.2">
      <c r="A33" s="80"/>
      <c r="B33" s="131"/>
      <c r="C33" s="83"/>
      <c r="F33" s="84"/>
      <c r="G33" s="84"/>
      <c r="H33" s="84"/>
      <c r="I33" s="83"/>
      <c r="J33" s="84"/>
      <c r="K33" s="98"/>
      <c r="L33" s="83"/>
    </row>
    <row r="34" spans="1:12" x14ac:dyDescent="0.2">
      <c r="A34" s="281" t="s">
        <v>40</v>
      </c>
      <c r="B34" s="281"/>
      <c r="C34" s="281"/>
      <c r="D34" s="281"/>
      <c r="E34" s="281"/>
      <c r="F34" s="281"/>
      <c r="G34" s="281"/>
      <c r="H34" s="281"/>
      <c r="I34" s="281"/>
      <c r="J34" s="281"/>
      <c r="K34" s="281"/>
      <c r="L34" s="281"/>
    </row>
    <row r="35" spans="1:12" x14ac:dyDescent="0.2">
      <c r="A35" s="80" t="s">
        <v>182</v>
      </c>
      <c r="B35" s="80" t="s">
        <v>1</v>
      </c>
      <c r="C35" s="80" t="s">
        <v>131</v>
      </c>
      <c r="D35" s="80" t="s">
        <v>6</v>
      </c>
      <c r="E35" s="80" t="s">
        <v>5</v>
      </c>
      <c r="F35" s="80" t="s">
        <v>3</v>
      </c>
      <c r="G35" s="80"/>
      <c r="H35" s="80"/>
      <c r="I35" s="80" t="s">
        <v>2</v>
      </c>
      <c r="J35" s="80" t="s">
        <v>4</v>
      </c>
      <c r="K35" s="80" t="s">
        <v>9</v>
      </c>
      <c r="L35" s="80" t="s">
        <v>7</v>
      </c>
    </row>
    <row r="36" spans="1:12" x14ac:dyDescent="0.2">
      <c r="A36">
        <v>1</v>
      </c>
      <c r="B36" t="s">
        <v>48</v>
      </c>
      <c r="C36" s="73">
        <v>10000</v>
      </c>
      <c r="D36" s="74">
        <v>5.0000000000000001E-3</v>
      </c>
      <c r="E36" s="75">
        <v>0.02</v>
      </c>
      <c r="F36" s="74">
        <v>0</v>
      </c>
      <c r="G36" s="74"/>
      <c r="H36" s="74"/>
      <c r="I36" s="73">
        <v>0</v>
      </c>
      <c r="J36" s="74">
        <v>5.0000000000000001E-3</v>
      </c>
      <c r="K36" s="73">
        <v>-50</v>
      </c>
      <c r="L36" s="73">
        <v>-50</v>
      </c>
    </row>
    <row r="37" spans="1:12" x14ac:dyDescent="0.2">
      <c r="A37">
        <v>2</v>
      </c>
      <c r="B37" t="s">
        <v>35</v>
      </c>
      <c r="C37" s="73">
        <v>10000</v>
      </c>
      <c r="D37" s="74">
        <v>5.0000000000000001E-3</v>
      </c>
      <c r="E37" s="75">
        <v>0.02</v>
      </c>
      <c r="F37" s="74">
        <v>2.5000000000000001E-2</v>
      </c>
      <c r="G37" s="74"/>
      <c r="H37" s="74"/>
      <c r="I37" s="73">
        <v>250</v>
      </c>
      <c r="J37" s="74">
        <v>0</v>
      </c>
      <c r="K37" t="s">
        <v>166</v>
      </c>
      <c r="L37" s="73">
        <v>250</v>
      </c>
    </row>
    <row r="38" spans="1:12" x14ac:dyDescent="0.2">
      <c r="A38">
        <v>3</v>
      </c>
      <c r="B38" t="s">
        <v>47</v>
      </c>
      <c r="C38" s="73">
        <v>10000</v>
      </c>
      <c r="D38" s="74">
        <v>5.0000000000000001E-3</v>
      </c>
      <c r="E38" s="75">
        <v>0.02</v>
      </c>
      <c r="F38" s="74">
        <v>0</v>
      </c>
      <c r="G38" s="74"/>
      <c r="H38" s="74"/>
      <c r="I38" s="73">
        <v>0</v>
      </c>
      <c r="J38" s="74">
        <v>5.0000000000000001E-3</v>
      </c>
      <c r="K38" s="73">
        <v>-50</v>
      </c>
      <c r="L38" s="73">
        <v>-50</v>
      </c>
    </row>
    <row r="39" spans="1:12" x14ac:dyDescent="0.2">
      <c r="A39">
        <v>4</v>
      </c>
      <c r="B39" t="s">
        <v>167</v>
      </c>
      <c r="C39" s="73">
        <v>10000</v>
      </c>
      <c r="D39" s="74">
        <v>5.0000000000000001E-3</v>
      </c>
      <c r="E39" s="75">
        <v>0.02</v>
      </c>
      <c r="F39" s="74">
        <v>0</v>
      </c>
      <c r="G39" s="74"/>
      <c r="H39" s="74"/>
      <c r="I39" s="73">
        <v>0</v>
      </c>
      <c r="J39" s="74">
        <v>5.0000000000000001E-3</v>
      </c>
      <c r="K39" s="73">
        <v>-50</v>
      </c>
      <c r="L39" s="73">
        <v>-50</v>
      </c>
    </row>
    <row r="40" spans="1:12" x14ac:dyDescent="0.2">
      <c r="A40">
        <v>5</v>
      </c>
      <c r="B40" t="s">
        <v>38</v>
      </c>
      <c r="C40" s="73">
        <v>10000</v>
      </c>
      <c r="D40" s="74">
        <v>5.0000000000000001E-3</v>
      </c>
      <c r="E40" s="75">
        <v>0.02</v>
      </c>
      <c r="F40" s="74">
        <v>0.03</v>
      </c>
      <c r="G40" s="74"/>
      <c r="H40" s="74"/>
      <c r="I40" s="73">
        <v>300</v>
      </c>
      <c r="J40" s="74">
        <v>0</v>
      </c>
      <c r="K40" t="s">
        <v>166</v>
      </c>
      <c r="L40" s="73">
        <v>300</v>
      </c>
    </row>
    <row r="41" spans="1:12" x14ac:dyDescent="0.2">
      <c r="A41">
        <v>6</v>
      </c>
      <c r="B41" t="s">
        <v>168</v>
      </c>
      <c r="C41" s="73">
        <v>10000</v>
      </c>
      <c r="D41" s="74">
        <v>5.0000000000000001E-3</v>
      </c>
      <c r="E41" s="75">
        <v>0.02</v>
      </c>
      <c r="F41" s="74">
        <v>0</v>
      </c>
      <c r="G41" s="74"/>
      <c r="H41" s="74"/>
      <c r="I41" s="73">
        <v>0</v>
      </c>
      <c r="J41" s="74">
        <v>5.0000000000000001E-3</v>
      </c>
      <c r="K41" s="73">
        <v>-50</v>
      </c>
      <c r="L41" s="73">
        <v>-50</v>
      </c>
    </row>
    <row r="42" spans="1:12" x14ac:dyDescent="0.2">
      <c r="A42">
        <v>7</v>
      </c>
      <c r="B42" t="s">
        <v>169</v>
      </c>
      <c r="C42" s="73">
        <v>10000</v>
      </c>
      <c r="D42" s="74">
        <v>5.0000000000000001E-3</v>
      </c>
      <c r="E42" s="75">
        <v>0.02</v>
      </c>
      <c r="F42" s="74">
        <v>0</v>
      </c>
      <c r="G42" s="74"/>
      <c r="H42" s="74"/>
      <c r="I42" s="73">
        <v>0</v>
      </c>
      <c r="J42" s="74">
        <v>5.0000000000000001E-3</v>
      </c>
      <c r="K42" s="73">
        <v>-50</v>
      </c>
      <c r="L42" s="73">
        <v>-50</v>
      </c>
    </row>
    <row r="43" spans="1:12" x14ac:dyDescent="0.2">
      <c r="A43">
        <v>8</v>
      </c>
      <c r="B43" t="s">
        <v>170</v>
      </c>
      <c r="C43" s="73">
        <v>10000</v>
      </c>
      <c r="D43" s="74">
        <v>5.0000000000000001E-3</v>
      </c>
      <c r="E43" s="75">
        <v>0.02</v>
      </c>
      <c r="F43" s="74">
        <v>2.5000000000000001E-2</v>
      </c>
      <c r="G43" s="74"/>
      <c r="H43" s="74"/>
      <c r="I43" s="73">
        <v>250</v>
      </c>
      <c r="J43" s="74">
        <v>0</v>
      </c>
      <c r="K43" t="s">
        <v>166</v>
      </c>
      <c r="L43" s="73">
        <v>250</v>
      </c>
    </row>
    <row r="44" spans="1:12" x14ac:dyDescent="0.2">
      <c r="A44">
        <v>9</v>
      </c>
      <c r="B44" t="s">
        <v>171</v>
      </c>
      <c r="C44" s="73">
        <v>10000</v>
      </c>
      <c r="D44" s="74">
        <v>5.0000000000000001E-3</v>
      </c>
      <c r="E44" s="75">
        <v>0.02</v>
      </c>
      <c r="F44" s="74">
        <v>0</v>
      </c>
      <c r="G44" s="74"/>
      <c r="H44" s="74"/>
      <c r="I44" s="73">
        <v>0</v>
      </c>
      <c r="J44" s="74">
        <v>5.0000000000000001E-3</v>
      </c>
      <c r="K44" s="73">
        <v>-50</v>
      </c>
      <c r="L44" s="73">
        <v>-50</v>
      </c>
    </row>
    <row r="45" spans="1:12" x14ac:dyDescent="0.2">
      <c r="A45">
        <v>10</v>
      </c>
      <c r="B45" t="s">
        <v>44</v>
      </c>
      <c r="C45" s="73">
        <v>10000</v>
      </c>
      <c r="D45" s="74">
        <v>5.0000000000000001E-3</v>
      </c>
      <c r="E45" s="75">
        <v>0.02</v>
      </c>
      <c r="F45" s="74">
        <v>0</v>
      </c>
      <c r="G45" s="74"/>
      <c r="H45" s="74"/>
      <c r="I45" s="73">
        <v>0</v>
      </c>
      <c r="J45" s="74">
        <v>5.0000000000000001E-3</v>
      </c>
      <c r="K45" s="73">
        <v>-50</v>
      </c>
      <c r="L45" s="73">
        <v>-50</v>
      </c>
    </row>
    <row r="46" spans="1:12" x14ac:dyDescent="0.2">
      <c r="A46">
        <v>11</v>
      </c>
      <c r="B46" t="s">
        <v>67</v>
      </c>
      <c r="C46" s="73">
        <v>10000</v>
      </c>
      <c r="D46" s="74">
        <v>5.0000000000000001E-3</v>
      </c>
      <c r="E46" s="75">
        <v>0.02</v>
      </c>
      <c r="F46" s="74">
        <v>0.03</v>
      </c>
      <c r="G46" s="74"/>
      <c r="H46" s="74"/>
      <c r="I46" s="73">
        <v>300</v>
      </c>
      <c r="J46" s="74">
        <v>0</v>
      </c>
      <c r="K46" t="s">
        <v>166</v>
      </c>
      <c r="L46" s="73">
        <v>300</v>
      </c>
    </row>
    <row r="47" spans="1:12" x14ac:dyDescent="0.2">
      <c r="A47">
        <v>12</v>
      </c>
      <c r="B47" t="s">
        <v>68</v>
      </c>
      <c r="C47" s="73">
        <v>10000</v>
      </c>
      <c r="D47" s="74">
        <v>5.0000000000000001E-3</v>
      </c>
      <c r="E47" s="75">
        <v>0.02</v>
      </c>
      <c r="F47" s="74">
        <v>0</v>
      </c>
      <c r="G47" s="74"/>
      <c r="H47" s="74"/>
      <c r="I47" s="73">
        <v>0</v>
      </c>
      <c r="J47" s="74">
        <v>5.0000000000000001E-3</v>
      </c>
      <c r="K47" s="73">
        <v>-50</v>
      </c>
      <c r="L47" s="73">
        <v>-50</v>
      </c>
    </row>
    <row r="48" spans="1:12" x14ac:dyDescent="0.2">
      <c r="A48">
        <v>13</v>
      </c>
      <c r="B48" t="s">
        <v>69</v>
      </c>
      <c r="C48" s="73">
        <v>10000</v>
      </c>
      <c r="D48" s="74">
        <v>5.0000000000000001E-3</v>
      </c>
      <c r="E48" s="75">
        <v>0.02</v>
      </c>
      <c r="F48" s="74">
        <v>0</v>
      </c>
      <c r="G48" s="74"/>
      <c r="H48" s="74"/>
      <c r="I48" s="73">
        <v>0</v>
      </c>
      <c r="J48" s="74">
        <v>5.0000000000000001E-3</v>
      </c>
      <c r="K48" s="73">
        <v>-50</v>
      </c>
      <c r="L48" s="73">
        <v>-50</v>
      </c>
    </row>
    <row r="49" spans="1:12" x14ac:dyDescent="0.2">
      <c r="A49">
        <v>14</v>
      </c>
      <c r="B49" t="s">
        <v>64</v>
      </c>
      <c r="C49" s="73">
        <v>10000</v>
      </c>
      <c r="D49" s="74">
        <v>5.0000000000000001E-3</v>
      </c>
      <c r="E49" s="75">
        <v>0.02</v>
      </c>
      <c r="F49" s="74">
        <v>2.5000000000000001E-2</v>
      </c>
      <c r="G49" s="74"/>
      <c r="H49" s="74"/>
      <c r="I49" s="73">
        <v>250</v>
      </c>
      <c r="J49" s="74">
        <v>0</v>
      </c>
      <c r="K49" t="s">
        <v>166</v>
      </c>
      <c r="L49" s="73">
        <v>250</v>
      </c>
    </row>
    <row r="50" spans="1:12" x14ac:dyDescent="0.2">
      <c r="A50">
        <v>15</v>
      </c>
      <c r="B50" t="s">
        <v>62</v>
      </c>
      <c r="C50" s="73">
        <v>10000</v>
      </c>
      <c r="D50" s="74">
        <v>5.0000000000000001E-3</v>
      </c>
      <c r="E50" s="75">
        <v>0.02</v>
      </c>
      <c r="F50" s="74">
        <v>0</v>
      </c>
      <c r="G50" s="74"/>
      <c r="H50" s="74"/>
      <c r="I50" s="73">
        <v>0</v>
      </c>
      <c r="J50" s="74">
        <v>5.0000000000000001E-3</v>
      </c>
      <c r="K50" s="73">
        <v>-50</v>
      </c>
      <c r="L50" s="73">
        <v>-50</v>
      </c>
    </row>
    <row r="51" spans="1:12" x14ac:dyDescent="0.2">
      <c r="A51" s="80" t="s">
        <v>27</v>
      </c>
      <c r="C51" s="83">
        <v>150000</v>
      </c>
      <c r="I51" s="83">
        <v>1350</v>
      </c>
      <c r="K51" s="83">
        <v>-500</v>
      </c>
      <c r="L51" s="83">
        <v>850</v>
      </c>
    </row>
    <row r="52" spans="1:12" x14ac:dyDescent="0.2">
      <c r="B52" s="131"/>
      <c r="C52" s="73"/>
      <c r="D52" s="74"/>
      <c r="E52" s="75"/>
      <c r="F52" s="74"/>
      <c r="G52" s="74"/>
      <c r="H52" s="74"/>
      <c r="I52" s="73"/>
      <c r="J52" s="74"/>
      <c r="K52" s="97"/>
      <c r="L52" s="73"/>
    </row>
    <row r="53" spans="1:12" x14ac:dyDescent="0.2">
      <c r="B53" s="131"/>
      <c r="C53" s="73"/>
      <c r="D53" s="74"/>
      <c r="E53" s="75"/>
      <c r="F53" s="74"/>
      <c r="G53" s="74"/>
      <c r="H53" s="74"/>
      <c r="I53" s="73"/>
      <c r="J53" s="74"/>
      <c r="K53" s="97"/>
      <c r="L53" s="73"/>
    </row>
    <row r="54" spans="1:12" x14ac:dyDescent="0.2">
      <c r="A54" s="281" t="s">
        <v>41</v>
      </c>
      <c r="B54" s="281"/>
      <c r="C54" s="281"/>
      <c r="D54" s="281"/>
      <c r="E54" s="281"/>
      <c r="F54" s="281"/>
      <c r="G54" s="281"/>
      <c r="H54" s="281"/>
      <c r="I54" s="281"/>
      <c r="J54" s="281"/>
      <c r="K54" s="281"/>
      <c r="L54" s="281"/>
    </row>
    <row r="55" spans="1:12" x14ac:dyDescent="0.2">
      <c r="A55" s="80" t="s">
        <v>182</v>
      </c>
      <c r="B55" s="80" t="s">
        <v>1</v>
      </c>
      <c r="C55" s="80" t="s">
        <v>172</v>
      </c>
      <c r="D55" s="80" t="s">
        <v>173</v>
      </c>
      <c r="E55" s="80" t="s">
        <v>174</v>
      </c>
      <c r="F55" s="80" t="s">
        <v>175</v>
      </c>
      <c r="G55" s="80"/>
      <c r="H55" s="80"/>
      <c r="I55" s="80" t="s">
        <v>176</v>
      </c>
      <c r="J55" s="80" t="s">
        <v>177</v>
      </c>
      <c r="K55" s="80" t="s">
        <v>178</v>
      </c>
      <c r="L55" s="80" t="s">
        <v>179</v>
      </c>
    </row>
    <row r="56" spans="1:12" x14ac:dyDescent="0.2">
      <c r="A56">
        <v>1</v>
      </c>
      <c r="B56" t="s">
        <v>48</v>
      </c>
      <c r="C56" s="76">
        <v>10000</v>
      </c>
      <c r="D56" s="74">
        <v>5.0000000000000001E-3</v>
      </c>
      <c r="E56" s="75">
        <v>0.02</v>
      </c>
      <c r="F56" s="74">
        <v>0</v>
      </c>
      <c r="G56" s="74"/>
      <c r="H56" s="74"/>
      <c r="I56" s="73">
        <v>0</v>
      </c>
      <c r="J56" s="74">
        <v>5.0000000000000001E-3</v>
      </c>
      <c r="K56" s="73">
        <v>-50</v>
      </c>
      <c r="L56" s="73">
        <v>-50</v>
      </c>
    </row>
    <row r="57" spans="1:12" x14ac:dyDescent="0.2">
      <c r="A57">
        <v>2</v>
      </c>
      <c r="B57" t="s">
        <v>35</v>
      </c>
      <c r="C57" s="76">
        <v>10000</v>
      </c>
      <c r="D57" s="74">
        <v>5.0000000000000001E-3</v>
      </c>
      <c r="E57" s="75">
        <v>0.02</v>
      </c>
      <c r="F57" s="74">
        <v>2.5000000000000001E-2</v>
      </c>
      <c r="G57" s="74"/>
      <c r="H57" s="74"/>
      <c r="I57" s="73">
        <v>250</v>
      </c>
      <c r="J57" s="74">
        <v>0</v>
      </c>
      <c r="K57" t="s">
        <v>166</v>
      </c>
      <c r="L57" s="73">
        <v>250</v>
      </c>
    </row>
    <row r="58" spans="1:12" x14ac:dyDescent="0.2">
      <c r="A58">
        <v>3</v>
      </c>
      <c r="B58" t="s">
        <v>47</v>
      </c>
      <c r="C58" s="76">
        <v>10000</v>
      </c>
      <c r="D58" s="74">
        <v>5.0000000000000001E-3</v>
      </c>
      <c r="E58" s="75">
        <v>0.02</v>
      </c>
      <c r="F58" s="74">
        <v>0</v>
      </c>
      <c r="G58" s="74"/>
      <c r="H58" s="74"/>
      <c r="I58" s="73">
        <v>0</v>
      </c>
      <c r="J58" s="74">
        <v>5.0000000000000001E-3</v>
      </c>
      <c r="K58" s="73">
        <v>-50</v>
      </c>
      <c r="L58" s="73">
        <v>-50</v>
      </c>
    </row>
    <row r="59" spans="1:12" x14ac:dyDescent="0.2">
      <c r="A59">
        <v>4</v>
      </c>
      <c r="B59" t="s">
        <v>167</v>
      </c>
      <c r="C59" s="76">
        <v>10000</v>
      </c>
      <c r="D59" s="74">
        <v>5.0000000000000001E-3</v>
      </c>
      <c r="E59" s="75">
        <v>0.02</v>
      </c>
      <c r="F59" s="74">
        <v>0</v>
      </c>
      <c r="G59" s="74"/>
      <c r="H59" s="74"/>
      <c r="I59" s="73">
        <v>0</v>
      </c>
      <c r="J59" s="74">
        <v>5.0000000000000001E-3</v>
      </c>
      <c r="K59" s="73">
        <v>-50</v>
      </c>
      <c r="L59" s="73">
        <v>-50</v>
      </c>
    </row>
    <row r="60" spans="1:12" x14ac:dyDescent="0.2">
      <c r="A60">
        <v>5</v>
      </c>
      <c r="B60" t="s">
        <v>38</v>
      </c>
      <c r="C60" s="76">
        <v>10000</v>
      </c>
      <c r="D60" s="74">
        <v>5.0000000000000001E-3</v>
      </c>
      <c r="E60" s="75">
        <v>0.02</v>
      </c>
      <c r="F60" s="74">
        <v>0.03</v>
      </c>
      <c r="G60" s="74"/>
      <c r="H60" s="74"/>
      <c r="I60" s="73">
        <v>300</v>
      </c>
      <c r="J60" s="74">
        <v>0</v>
      </c>
      <c r="K60" t="s">
        <v>166</v>
      </c>
      <c r="L60" s="73">
        <v>300</v>
      </c>
    </row>
    <row r="61" spans="1:12" x14ac:dyDescent="0.2">
      <c r="A61">
        <v>6</v>
      </c>
      <c r="B61" t="s">
        <v>168</v>
      </c>
      <c r="C61" s="76">
        <v>10000</v>
      </c>
      <c r="D61" s="74">
        <v>5.0000000000000001E-3</v>
      </c>
      <c r="E61" s="75">
        <v>0.02</v>
      </c>
      <c r="F61" s="74">
        <v>0</v>
      </c>
      <c r="G61" s="74"/>
      <c r="H61" s="74"/>
      <c r="I61" s="73">
        <v>0</v>
      </c>
      <c r="J61" s="74">
        <v>5.0000000000000001E-3</v>
      </c>
      <c r="K61" s="73">
        <v>-50</v>
      </c>
      <c r="L61" s="73">
        <v>-50</v>
      </c>
    </row>
    <row r="62" spans="1:12" x14ac:dyDescent="0.2">
      <c r="A62">
        <v>7</v>
      </c>
      <c r="B62" t="s">
        <v>169</v>
      </c>
      <c r="C62" s="76">
        <v>10000</v>
      </c>
      <c r="D62" s="74">
        <v>5.0000000000000001E-3</v>
      </c>
      <c r="E62" s="75">
        <v>0.02</v>
      </c>
      <c r="F62" s="74">
        <v>0</v>
      </c>
      <c r="G62" s="74"/>
      <c r="H62" s="74"/>
      <c r="I62" s="73">
        <v>0</v>
      </c>
      <c r="J62" s="74">
        <v>5.0000000000000001E-3</v>
      </c>
      <c r="K62" s="73">
        <v>-50</v>
      </c>
      <c r="L62" s="73">
        <v>-50</v>
      </c>
    </row>
    <row r="63" spans="1:12" x14ac:dyDescent="0.2">
      <c r="A63">
        <v>8</v>
      </c>
      <c r="B63" t="s">
        <v>170</v>
      </c>
      <c r="C63" s="76">
        <v>10000</v>
      </c>
      <c r="D63" s="74">
        <v>5.0000000000000001E-3</v>
      </c>
      <c r="E63" s="75">
        <v>0.02</v>
      </c>
      <c r="F63" s="74">
        <v>2.5000000000000001E-2</v>
      </c>
      <c r="G63" s="74"/>
      <c r="H63" s="74"/>
      <c r="I63" s="73">
        <v>250</v>
      </c>
      <c r="J63" s="74">
        <v>0</v>
      </c>
      <c r="K63" t="s">
        <v>166</v>
      </c>
      <c r="L63" s="73">
        <v>250</v>
      </c>
    </row>
    <row r="64" spans="1:12" x14ac:dyDescent="0.2">
      <c r="A64">
        <v>9</v>
      </c>
      <c r="B64" t="s">
        <v>171</v>
      </c>
      <c r="C64" s="76">
        <v>10000</v>
      </c>
      <c r="D64" s="74">
        <v>5.0000000000000001E-3</v>
      </c>
      <c r="E64" s="75">
        <v>0.02</v>
      </c>
      <c r="F64" s="74">
        <v>0</v>
      </c>
      <c r="G64" s="74"/>
      <c r="H64" s="74"/>
      <c r="I64" s="73">
        <v>0</v>
      </c>
      <c r="J64" s="74">
        <v>5.0000000000000001E-3</v>
      </c>
      <c r="K64" s="73">
        <v>-50</v>
      </c>
      <c r="L64" s="73">
        <v>-50</v>
      </c>
    </row>
    <row r="65" spans="1:12" x14ac:dyDescent="0.2">
      <c r="A65">
        <v>10</v>
      </c>
      <c r="B65" t="s">
        <v>44</v>
      </c>
      <c r="C65" s="76">
        <v>10000</v>
      </c>
      <c r="D65" s="74">
        <v>5.0000000000000001E-3</v>
      </c>
      <c r="E65" s="75">
        <v>0.02</v>
      </c>
      <c r="F65" s="74">
        <v>0</v>
      </c>
      <c r="G65" s="74"/>
      <c r="H65" s="74"/>
      <c r="I65" s="73">
        <v>0</v>
      </c>
      <c r="J65" s="74">
        <v>5.0000000000000001E-3</v>
      </c>
      <c r="K65" s="73">
        <v>-50</v>
      </c>
      <c r="L65" s="73">
        <v>-50</v>
      </c>
    </row>
    <row r="66" spans="1:12" x14ac:dyDescent="0.2">
      <c r="A66">
        <v>11</v>
      </c>
      <c r="B66" t="s">
        <v>67</v>
      </c>
      <c r="C66" s="76">
        <v>10000</v>
      </c>
      <c r="D66" s="74">
        <v>5.0000000000000001E-3</v>
      </c>
      <c r="E66" s="75">
        <v>0.02</v>
      </c>
      <c r="F66" s="84">
        <v>0.02</v>
      </c>
      <c r="G66" s="84"/>
      <c r="H66" s="84"/>
      <c r="I66" s="83">
        <v>200</v>
      </c>
      <c r="J66" s="74">
        <v>0</v>
      </c>
      <c r="K66" t="s">
        <v>166</v>
      </c>
      <c r="L66" s="73">
        <v>200</v>
      </c>
    </row>
    <row r="67" spans="1:12" x14ac:dyDescent="0.2">
      <c r="A67">
        <v>12</v>
      </c>
      <c r="B67" t="s">
        <v>68</v>
      </c>
      <c r="C67" s="76">
        <v>10000</v>
      </c>
      <c r="D67" s="74">
        <v>5.0000000000000001E-3</v>
      </c>
      <c r="E67" s="75">
        <v>0.02</v>
      </c>
      <c r="F67" s="74">
        <v>0</v>
      </c>
      <c r="G67" s="74"/>
      <c r="H67" s="74"/>
      <c r="I67" s="73">
        <v>0</v>
      </c>
      <c r="J67" s="74">
        <v>5.0000000000000001E-3</v>
      </c>
      <c r="K67" s="73">
        <v>-50</v>
      </c>
      <c r="L67" s="73">
        <v>-50</v>
      </c>
    </row>
    <row r="68" spans="1:12" x14ac:dyDescent="0.2">
      <c r="A68">
        <v>13</v>
      </c>
      <c r="B68" t="s">
        <v>69</v>
      </c>
      <c r="C68" s="76">
        <v>10000</v>
      </c>
      <c r="D68" s="74">
        <v>5.0000000000000001E-3</v>
      </c>
      <c r="E68" s="75">
        <v>0.02</v>
      </c>
      <c r="F68" s="74">
        <v>0</v>
      </c>
      <c r="G68" s="74"/>
      <c r="H68" s="74"/>
      <c r="I68" s="73">
        <v>0</v>
      </c>
      <c r="J68" s="74">
        <v>5.0000000000000001E-3</v>
      </c>
      <c r="K68" s="73">
        <v>-50</v>
      </c>
      <c r="L68" s="73">
        <v>-50</v>
      </c>
    </row>
    <row r="69" spans="1:12" x14ac:dyDescent="0.2">
      <c r="A69">
        <v>14</v>
      </c>
      <c r="B69" t="s">
        <v>64</v>
      </c>
      <c r="C69" s="76">
        <v>10000</v>
      </c>
      <c r="D69" s="74">
        <v>5.0000000000000001E-3</v>
      </c>
      <c r="E69" s="75">
        <v>0.02</v>
      </c>
      <c r="F69" s="74">
        <v>2.5000000000000001E-2</v>
      </c>
      <c r="G69" s="74"/>
      <c r="H69" s="74"/>
      <c r="I69" s="73">
        <v>250</v>
      </c>
      <c r="J69" s="74">
        <v>0</v>
      </c>
      <c r="K69" t="s">
        <v>166</v>
      </c>
      <c r="L69" s="73">
        <v>250</v>
      </c>
    </row>
    <row r="70" spans="1:12" x14ac:dyDescent="0.2">
      <c r="A70">
        <v>15</v>
      </c>
      <c r="B70" t="s">
        <v>62</v>
      </c>
      <c r="C70" s="76">
        <v>10000</v>
      </c>
      <c r="D70" s="74">
        <v>5.0000000000000001E-3</v>
      </c>
      <c r="E70" s="75">
        <v>0.02</v>
      </c>
      <c r="F70" s="74">
        <v>0</v>
      </c>
      <c r="G70" s="74"/>
      <c r="H70" s="74"/>
      <c r="I70" s="73">
        <v>0</v>
      </c>
      <c r="J70" s="74">
        <v>5.0000000000000001E-3</v>
      </c>
      <c r="K70" s="73">
        <v>-50</v>
      </c>
      <c r="L70" s="73">
        <v>-50</v>
      </c>
    </row>
    <row r="71" spans="1:12" x14ac:dyDescent="0.2">
      <c r="A71" s="80" t="s">
        <v>27</v>
      </c>
      <c r="C71" s="95">
        <v>150000</v>
      </c>
      <c r="F71" s="84">
        <v>0.125</v>
      </c>
      <c r="G71" s="84"/>
      <c r="H71" s="84"/>
      <c r="I71" s="83">
        <v>1250</v>
      </c>
      <c r="J71" s="84">
        <v>0.05</v>
      </c>
      <c r="K71" s="83">
        <v>-500</v>
      </c>
      <c r="L71" s="83">
        <v>750</v>
      </c>
    </row>
    <row r="72" spans="1:12" x14ac:dyDescent="0.2">
      <c r="B72" s="131"/>
      <c r="C72" s="73"/>
      <c r="D72" s="74"/>
      <c r="E72" s="75"/>
      <c r="F72" s="74"/>
      <c r="G72" s="74"/>
      <c r="H72" s="74"/>
      <c r="I72" s="73"/>
      <c r="J72" s="74"/>
      <c r="K72" s="97"/>
      <c r="L72" s="73"/>
    </row>
    <row r="73" spans="1:12" x14ac:dyDescent="0.2">
      <c r="A73" s="283" t="s">
        <v>41</v>
      </c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</row>
    <row r="74" spans="1:12" x14ac:dyDescent="0.2">
      <c r="A74" s="80" t="s">
        <v>182</v>
      </c>
      <c r="B74" s="80" t="s">
        <v>1</v>
      </c>
      <c r="C74" s="80" t="s">
        <v>172</v>
      </c>
      <c r="D74" s="80" t="s">
        <v>173</v>
      </c>
      <c r="E74" s="80" t="s">
        <v>174</v>
      </c>
      <c r="F74" s="80" t="s">
        <v>175</v>
      </c>
      <c r="G74" s="80"/>
      <c r="H74" s="80"/>
      <c r="I74" s="80" t="s">
        <v>176</v>
      </c>
      <c r="J74" s="80" t="s">
        <v>177</v>
      </c>
      <c r="K74" s="80" t="s">
        <v>178</v>
      </c>
      <c r="L74" s="80" t="s">
        <v>179</v>
      </c>
    </row>
    <row r="75" spans="1:12" x14ac:dyDescent="0.2">
      <c r="A75">
        <v>1</v>
      </c>
      <c r="B75" t="s">
        <v>63</v>
      </c>
      <c r="C75" s="76">
        <v>10000</v>
      </c>
      <c r="D75" s="74">
        <v>5.0000000000000001E-3</v>
      </c>
      <c r="E75" s="75">
        <v>0.02</v>
      </c>
      <c r="F75" s="74">
        <v>0.03</v>
      </c>
      <c r="G75" s="74"/>
      <c r="H75" s="74"/>
      <c r="I75" s="73">
        <v>300</v>
      </c>
      <c r="J75" s="74">
        <v>0</v>
      </c>
      <c r="K75" t="s">
        <v>166</v>
      </c>
      <c r="L75" s="73">
        <v>300</v>
      </c>
    </row>
    <row r="76" spans="1:12" x14ac:dyDescent="0.2">
      <c r="A76">
        <v>2</v>
      </c>
      <c r="B76" t="s">
        <v>65</v>
      </c>
      <c r="C76" s="76">
        <v>10000</v>
      </c>
      <c r="D76" s="74">
        <v>5.0000000000000001E-3</v>
      </c>
      <c r="E76" s="75">
        <v>0.02</v>
      </c>
      <c r="F76" s="74">
        <v>0</v>
      </c>
      <c r="G76" s="74"/>
      <c r="H76" s="74"/>
      <c r="I76" s="73">
        <v>0</v>
      </c>
      <c r="J76" s="74">
        <v>5.0000000000000001E-3</v>
      </c>
      <c r="K76" s="73">
        <v>-50</v>
      </c>
      <c r="L76" s="73">
        <v>-50</v>
      </c>
    </row>
    <row r="77" spans="1:12" x14ac:dyDescent="0.2">
      <c r="A77">
        <v>3</v>
      </c>
      <c r="B77" t="s">
        <v>180</v>
      </c>
      <c r="C77" s="76">
        <v>10000</v>
      </c>
      <c r="D77" s="74">
        <v>5.0000000000000001E-3</v>
      </c>
      <c r="E77" s="75">
        <v>0.02</v>
      </c>
      <c r="F77" s="74">
        <v>2.5000000000000001E-2</v>
      </c>
      <c r="G77" s="74"/>
      <c r="H77" s="74"/>
      <c r="I77" s="73">
        <v>250</v>
      </c>
      <c r="J77" s="74">
        <v>0</v>
      </c>
      <c r="K77" t="s">
        <v>166</v>
      </c>
      <c r="L77" s="73">
        <v>250</v>
      </c>
    </row>
    <row r="78" spans="1:12" x14ac:dyDescent="0.2">
      <c r="A78">
        <v>4</v>
      </c>
      <c r="B78" t="s">
        <v>58</v>
      </c>
      <c r="C78" s="76">
        <v>10000</v>
      </c>
      <c r="D78" s="74">
        <v>5.0000000000000001E-3</v>
      </c>
      <c r="E78" s="75">
        <v>0.02</v>
      </c>
      <c r="F78" s="74">
        <v>0.03</v>
      </c>
      <c r="G78" s="74"/>
      <c r="H78" s="74"/>
      <c r="I78" s="73">
        <v>300</v>
      </c>
      <c r="J78" s="74">
        <v>0</v>
      </c>
      <c r="K78" t="s">
        <v>166</v>
      </c>
      <c r="L78" s="73">
        <v>300</v>
      </c>
    </row>
    <row r="79" spans="1:12" x14ac:dyDescent="0.2">
      <c r="A79">
        <v>5</v>
      </c>
      <c r="B79" t="s">
        <v>59</v>
      </c>
      <c r="C79" s="76">
        <v>10000</v>
      </c>
      <c r="D79" s="74">
        <v>5.0000000000000001E-3</v>
      </c>
      <c r="E79" s="75">
        <v>0.02</v>
      </c>
      <c r="F79" s="74">
        <v>0</v>
      </c>
      <c r="G79" s="74"/>
      <c r="H79" s="74"/>
      <c r="I79" s="73">
        <v>0</v>
      </c>
      <c r="J79" s="74">
        <v>5.0000000000000001E-3</v>
      </c>
      <c r="K79" s="73">
        <v>-50</v>
      </c>
      <c r="L79" s="73">
        <v>-50</v>
      </c>
    </row>
    <row r="80" spans="1:12" x14ac:dyDescent="0.2">
      <c r="A80">
        <v>6</v>
      </c>
      <c r="B80" t="s">
        <v>60</v>
      </c>
      <c r="C80" s="76">
        <v>10000</v>
      </c>
      <c r="D80" s="74">
        <v>5.0000000000000001E-3</v>
      </c>
      <c r="E80" s="75">
        <v>0.02</v>
      </c>
      <c r="F80" s="74">
        <v>2.5000000000000001E-2</v>
      </c>
      <c r="G80" s="74"/>
      <c r="H80" s="74"/>
      <c r="I80" s="73">
        <v>250</v>
      </c>
      <c r="J80" s="74">
        <v>0</v>
      </c>
      <c r="K80" t="s">
        <v>166</v>
      </c>
      <c r="L80" s="73">
        <v>250</v>
      </c>
    </row>
    <row r="81" spans="1:12" x14ac:dyDescent="0.2">
      <c r="A81">
        <v>7</v>
      </c>
      <c r="B81" t="s">
        <v>83</v>
      </c>
      <c r="C81" s="76">
        <v>10000</v>
      </c>
      <c r="D81" s="74">
        <v>5.0000000000000001E-3</v>
      </c>
      <c r="E81" s="75">
        <v>0.02</v>
      </c>
      <c r="F81" s="74">
        <v>0.03</v>
      </c>
      <c r="G81" s="74"/>
      <c r="H81" s="74"/>
      <c r="I81" s="73">
        <v>300</v>
      </c>
      <c r="J81" s="74">
        <v>0</v>
      </c>
      <c r="K81" t="s">
        <v>166</v>
      </c>
      <c r="L81" s="73">
        <v>300</v>
      </c>
    </row>
    <row r="82" spans="1:12" x14ac:dyDescent="0.2">
      <c r="A82">
        <v>8</v>
      </c>
      <c r="B82" t="s">
        <v>26</v>
      </c>
      <c r="C82" s="76">
        <v>10000</v>
      </c>
      <c r="D82" s="74">
        <v>5.0000000000000001E-3</v>
      </c>
      <c r="E82" s="75">
        <v>0.02</v>
      </c>
      <c r="F82" s="74">
        <v>0</v>
      </c>
      <c r="G82" s="74"/>
      <c r="H82" s="74"/>
      <c r="I82" s="73">
        <v>0</v>
      </c>
      <c r="J82" s="74">
        <v>5.0000000000000001E-3</v>
      </c>
      <c r="K82" s="73">
        <v>-50</v>
      </c>
      <c r="L82" s="73">
        <v>-50</v>
      </c>
    </row>
    <row r="83" spans="1:12" x14ac:dyDescent="0.2">
      <c r="A83">
        <v>9</v>
      </c>
      <c r="B83" t="s">
        <v>49</v>
      </c>
      <c r="C83" s="76">
        <v>10000</v>
      </c>
      <c r="D83" s="74">
        <v>5.0000000000000001E-3</v>
      </c>
      <c r="E83" s="75">
        <v>0.02</v>
      </c>
      <c r="F83" s="74">
        <v>2.5000000000000001E-2</v>
      </c>
      <c r="G83" s="74"/>
      <c r="H83" s="74"/>
      <c r="I83" s="73">
        <v>250</v>
      </c>
      <c r="J83" s="74">
        <v>0</v>
      </c>
      <c r="K83" t="s">
        <v>166</v>
      </c>
      <c r="L83" s="73">
        <v>250</v>
      </c>
    </row>
    <row r="84" spans="1:12" x14ac:dyDescent="0.2">
      <c r="A84">
        <v>10</v>
      </c>
      <c r="B84" t="s">
        <v>70</v>
      </c>
      <c r="C84" s="76">
        <v>10000</v>
      </c>
      <c r="D84" s="74">
        <v>5.0000000000000001E-3</v>
      </c>
      <c r="E84" s="75">
        <v>0.02</v>
      </c>
      <c r="F84" s="74">
        <v>0.03</v>
      </c>
      <c r="G84" s="74"/>
      <c r="H84" s="74"/>
      <c r="I84" s="73">
        <v>300</v>
      </c>
      <c r="J84" s="74">
        <v>0</v>
      </c>
      <c r="K84" t="s">
        <v>166</v>
      </c>
      <c r="L84" s="73">
        <v>300</v>
      </c>
    </row>
    <row r="85" spans="1:12" x14ac:dyDescent="0.2">
      <c r="A85">
        <v>11</v>
      </c>
      <c r="B85" t="s">
        <v>82</v>
      </c>
      <c r="C85" s="76">
        <v>10000</v>
      </c>
      <c r="D85" s="74">
        <v>5.0000000000000001E-3</v>
      </c>
      <c r="E85" s="75">
        <v>0.02</v>
      </c>
      <c r="F85" s="74">
        <v>0</v>
      </c>
      <c r="G85" s="74"/>
      <c r="H85" s="74"/>
      <c r="I85" s="73">
        <v>0</v>
      </c>
      <c r="J85" s="74">
        <v>5.0000000000000001E-3</v>
      </c>
      <c r="K85" s="73">
        <v>-50</v>
      </c>
      <c r="L85" s="73">
        <v>-50</v>
      </c>
    </row>
    <row r="86" spans="1:12" x14ac:dyDescent="0.2">
      <c r="A86">
        <v>12</v>
      </c>
      <c r="B86" t="s">
        <v>71</v>
      </c>
      <c r="C86" s="76">
        <v>10000</v>
      </c>
      <c r="D86" s="74">
        <v>5.0000000000000001E-3</v>
      </c>
      <c r="E86" s="75">
        <v>0.02</v>
      </c>
      <c r="F86" s="74">
        <v>2.5000000000000001E-2</v>
      </c>
      <c r="G86" s="74"/>
      <c r="H86" s="74"/>
      <c r="I86" s="73">
        <v>250</v>
      </c>
      <c r="J86" s="74">
        <v>0</v>
      </c>
      <c r="K86" t="s">
        <v>166</v>
      </c>
      <c r="L86" s="73">
        <v>250</v>
      </c>
    </row>
    <row r="87" spans="1:12" x14ac:dyDescent="0.2">
      <c r="A87">
        <v>13</v>
      </c>
      <c r="B87" t="s">
        <v>100</v>
      </c>
      <c r="C87" s="76">
        <v>10000</v>
      </c>
      <c r="D87" s="74">
        <v>5.0000000000000001E-3</v>
      </c>
      <c r="E87" s="75">
        <v>0.02</v>
      </c>
      <c r="F87" s="74">
        <v>2.5000000000000001E-2</v>
      </c>
      <c r="G87" s="74"/>
      <c r="H87" s="74"/>
      <c r="I87" s="73">
        <v>250</v>
      </c>
      <c r="J87" s="74">
        <v>0</v>
      </c>
      <c r="K87" t="s">
        <v>166</v>
      </c>
      <c r="L87" s="73">
        <v>250</v>
      </c>
    </row>
    <row r="88" spans="1:12" x14ac:dyDescent="0.2">
      <c r="A88" s="80" t="s">
        <v>27</v>
      </c>
      <c r="C88" s="95">
        <v>130000</v>
      </c>
      <c r="F88" s="84">
        <v>0.245</v>
      </c>
      <c r="G88" s="84"/>
      <c r="H88" s="84"/>
      <c r="I88" s="83">
        <v>2450</v>
      </c>
      <c r="J88" s="84">
        <v>0.02</v>
      </c>
      <c r="K88" s="83">
        <v>-200</v>
      </c>
      <c r="L88" s="83">
        <v>2250</v>
      </c>
    </row>
    <row r="90" spans="1:12" x14ac:dyDescent="0.2">
      <c r="A90" s="281" t="s">
        <v>42</v>
      </c>
      <c r="B90" s="281"/>
      <c r="C90" s="281"/>
      <c r="D90" s="281"/>
      <c r="E90" s="281"/>
      <c r="F90" s="281"/>
      <c r="G90" s="281"/>
      <c r="H90" s="281"/>
      <c r="I90" s="281"/>
      <c r="J90" s="281"/>
      <c r="K90" s="281"/>
      <c r="L90" s="281"/>
    </row>
    <row r="91" spans="1:12" x14ac:dyDescent="0.2">
      <c r="A91" s="80" t="s">
        <v>182</v>
      </c>
      <c r="B91" s="80" t="s">
        <v>1</v>
      </c>
      <c r="C91" s="80" t="s">
        <v>172</v>
      </c>
      <c r="D91" s="80" t="s">
        <v>173</v>
      </c>
      <c r="E91" s="80" t="s">
        <v>174</v>
      </c>
      <c r="F91" s="80" t="s">
        <v>175</v>
      </c>
      <c r="G91" s="80"/>
      <c r="H91" s="80"/>
      <c r="I91" s="80" t="s">
        <v>176</v>
      </c>
      <c r="J91" s="80" t="s">
        <v>177</v>
      </c>
      <c r="K91" s="80" t="s">
        <v>178</v>
      </c>
      <c r="L91" s="80" t="s">
        <v>179</v>
      </c>
    </row>
    <row r="92" spans="1:12" x14ac:dyDescent="0.2">
      <c r="A92">
        <v>1</v>
      </c>
      <c r="B92" t="s">
        <v>72</v>
      </c>
      <c r="C92" s="76">
        <v>10000</v>
      </c>
      <c r="D92" s="74">
        <v>5.0000000000000001E-3</v>
      </c>
      <c r="E92" s="75">
        <v>0.02</v>
      </c>
      <c r="F92" s="74">
        <v>0</v>
      </c>
      <c r="G92" s="74"/>
      <c r="H92" s="74"/>
      <c r="I92" s="73">
        <v>0</v>
      </c>
      <c r="J92" s="74">
        <v>5.0000000000000001E-3</v>
      </c>
      <c r="K92" s="73">
        <v>-50</v>
      </c>
      <c r="L92" s="73">
        <v>-50</v>
      </c>
    </row>
    <row r="93" spans="1:12" x14ac:dyDescent="0.2">
      <c r="A93">
        <v>2</v>
      </c>
      <c r="B93" t="s">
        <v>181</v>
      </c>
      <c r="C93" s="76">
        <v>10000</v>
      </c>
      <c r="D93" s="74">
        <v>5.0000000000000001E-3</v>
      </c>
      <c r="E93" s="75">
        <v>0.02</v>
      </c>
      <c r="F93" s="74">
        <v>0.03</v>
      </c>
      <c r="G93" s="74"/>
      <c r="H93" s="74"/>
      <c r="I93" s="73">
        <v>300</v>
      </c>
      <c r="J93" s="74">
        <v>0</v>
      </c>
      <c r="K93" t="s">
        <v>166</v>
      </c>
      <c r="L93" s="73">
        <v>300</v>
      </c>
    </row>
    <row r="94" spans="1:12" x14ac:dyDescent="0.2">
      <c r="A94">
        <v>3</v>
      </c>
      <c r="B94" t="s">
        <v>50</v>
      </c>
      <c r="C94" s="76">
        <v>10000</v>
      </c>
      <c r="D94" s="74">
        <v>5.0000000000000001E-3</v>
      </c>
      <c r="E94" s="75">
        <v>0.02</v>
      </c>
      <c r="F94" s="74">
        <v>0</v>
      </c>
      <c r="G94" s="74"/>
      <c r="H94" s="74"/>
      <c r="I94" s="73">
        <v>0</v>
      </c>
      <c r="J94" s="74">
        <v>5.0000000000000001E-3</v>
      </c>
      <c r="K94" s="73">
        <v>-50</v>
      </c>
      <c r="L94" s="73">
        <v>-50</v>
      </c>
    </row>
    <row r="95" spans="1:12" x14ac:dyDescent="0.2">
      <c r="A95">
        <v>4</v>
      </c>
      <c r="B95" t="s">
        <v>36</v>
      </c>
      <c r="C95" s="76">
        <v>10000</v>
      </c>
      <c r="D95" s="74">
        <v>5.0000000000000001E-3</v>
      </c>
      <c r="E95" s="75">
        <v>0.02</v>
      </c>
      <c r="F95" s="74">
        <v>0.03</v>
      </c>
      <c r="G95" s="74"/>
      <c r="H95" s="74"/>
      <c r="I95" s="73">
        <v>300</v>
      </c>
      <c r="J95" s="74">
        <v>0</v>
      </c>
      <c r="K95" t="s">
        <v>166</v>
      </c>
      <c r="L95" s="73">
        <v>300</v>
      </c>
    </row>
    <row r="96" spans="1:12" x14ac:dyDescent="0.2">
      <c r="A96">
        <v>5</v>
      </c>
      <c r="B96" t="s">
        <v>11</v>
      </c>
      <c r="C96" s="76">
        <v>10000</v>
      </c>
      <c r="D96" s="74">
        <v>5.0000000000000001E-3</v>
      </c>
      <c r="E96" s="75">
        <v>0.02</v>
      </c>
      <c r="F96" s="74">
        <v>2.5000000000000001E-2</v>
      </c>
      <c r="G96" s="74"/>
      <c r="H96" s="74"/>
      <c r="I96" s="73">
        <v>250</v>
      </c>
      <c r="J96" s="74">
        <v>0</v>
      </c>
      <c r="K96" t="s">
        <v>166</v>
      </c>
      <c r="L96" s="73">
        <v>250</v>
      </c>
    </row>
    <row r="97" spans="1:12" x14ac:dyDescent="0.2">
      <c r="A97">
        <v>6</v>
      </c>
      <c r="B97" t="s">
        <v>10</v>
      </c>
      <c r="C97" s="76">
        <v>10000</v>
      </c>
      <c r="D97" s="74">
        <v>5.0000000000000001E-3</v>
      </c>
      <c r="E97" s="75">
        <v>0.02</v>
      </c>
      <c r="F97" s="74">
        <v>0</v>
      </c>
      <c r="G97" s="74"/>
      <c r="H97" s="74"/>
      <c r="I97" s="73">
        <v>0</v>
      </c>
      <c r="J97" s="74">
        <v>5.0000000000000001E-3</v>
      </c>
      <c r="K97" s="73">
        <v>-50</v>
      </c>
      <c r="L97" s="73">
        <v>-50</v>
      </c>
    </row>
    <row r="98" spans="1:12" x14ac:dyDescent="0.2">
      <c r="A98">
        <v>7</v>
      </c>
      <c r="B98" t="s">
        <v>25</v>
      </c>
      <c r="C98" s="76">
        <v>10000</v>
      </c>
      <c r="D98" s="74">
        <v>5.0000000000000001E-3</v>
      </c>
      <c r="E98" s="75">
        <v>0.02</v>
      </c>
      <c r="F98" s="74">
        <v>0.03</v>
      </c>
      <c r="G98" s="74"/>
      <c r="H98" s="74"/>
      <c r="I98" s="73">
        <v>300</v>
      </c>
      <c r="J98" s="74">
        <v>0</v>
      </c>
      <c r="K98" t="s">
        <v>166</v>
      </c>
      <c r="L98" s="73">
        <v>300</v>
      </c>
    </row>
    <row r="99" spans="1:12" x14ac:dyDescent="0.2">
      <c r="A99">
        <v>8</v>
      </c>
      <c r="B99" t="s">
        <v>33</v>
      </c>
      <c r="C99" s="76">
        <v>10000</v>
      </c>
      <c r="D99" s="74">
        <v>5.0000000000000001E-3</v>
      </c>
      <c r="E99" s="75">
        <v>0.02</v>
      </c>
      <c r="F99" s="74">
        <v>0</v>
      </c>
      <c r="G99" s="74"/>
      <c r="H99" s="74"/>
      <c r="I99" s="73">
        <v>0</v>
      </c>
      <c r="J99" s="74">
        <v>5.0000000000000001E-3</v>
      </c>
      <c r="K99" s="73">
        <v>-50</v>
      </c>
      <c r="L99" s="73">
        <v>-50</v>
      </c>
    </row>
    <row r="100" spans="1:12" x14ac:dyDescent="0.2">
      <c r="A100">
        <v>9</v>
      </c>
      <c r="B100" t="s">
        <v>19</v>
      </c>
      <c r="C100" s="76">
        <v>10000</v>
      </c>
      <c r="D100" s="74">
        <v>5.0000000000000001E-3</v>
      </c>
      <c r="E100" s="75">
        <v>0.02</v>
      </c>
      <c r="F100" s="74">
        <v>0.03</v>
      </c>
      <c r="G100" s="74"/>
      <c r="H100" s="74"/>
      <c r="I100" s="73">
        <v>300</v>
      </c>
      <c r="J100" s="74">
        <v>0</v>
      </c>
      <c r="K100" t="s">
        <v>166</v>
      </c>
      <c r="L100" s="73">
        <v>300</v>
      </c>
    </row>
    <row r="101" spans="1:12" x14ac:dyDescent="0.2">
      <c r="A101">
        <v>10</v>
      </c>
      <c r="B101" t="s">
        <v>15</v>
      </c>
      <c r="C101" s="76">
        <v>10000</v>
      </c>
      <c r="D101" s="74">
        <v>5.0000000000000001E-3</v>
      </c>
      <c r="E101" s="75">
        <v>0.02</v>
      </c>
      <c r="F101" s="74">
        <v>0.03</v>
      </c>
      <c r="G101" s="74"/>
      <c r="H101" s="74"/>
      <c r="I101" s="73">
        <v>300</v>
      </c>
      <c r="J101" s="74">
        <v>0</v>
      </c>
      <c r="K101" t="s">
        <v>166</v>
      </c>
      <c r="L101" s="73">
        <v>300</v>
      </c>
    </row>
    <row r="102" spans="1:12" x14ac:dyDescent="0.2">
      <c r="A102">
        <v>11</v>
      </c>
      <c r="B102" t="s">
        <v>35</v>
      </c>
      <c r="C102" s="76">
        <v>10000</v>
      </c>
      <c r="D102" s="74">
        <v>5.0000000000000001E-3</v>
      </c>
      <c r="E102" s="75">
        <v>0.02</v>
      </c>
      <c r="F102" s="74">
        <v>0</v>
      </c>
      <c r="G102" s="74"/>
      <c r="H102" s="74"/>
      <c r="I102" s="73">
        <v>0</v>
      </c>
      <c r="J102" s="74">
        <v>5.0000000000000001E-3</v>
      </c>
      <c r="K102" s="73">
        <v>-50</v>
      </c>
      <c r="L102" s="73">
        <v>-50</v>
      </c>
    </row>
    <row r="103" spans="1:12" x14ac:dyDescent="0.2">
      <c r="A103">
        <v>12</v>
      </c>
      <c r="B103" t="s">
        <v>12</v>
      </c>
      <c r="C103" s="76">
        <v>10000</v>
      </c>
      <c r="D103" s="74">
        <v>5.0000000000000001E-3</v>
      </c>
      <c r="E103" s="75">
        <v>0.02</v>
      </c>
      <c r="F103" s="74">
        <v>0.28029999999999999</v>
      </c>
      <c r="G103" s="74"/>
      <c r="H103" s="74"/>
      <c r="I103" s="73">
        <v>2803</v>
      </c>
      <c r="J103" s="74">
        <v>0</v>
      </c>
      <c r="K103" t="s">
        <v>166</v>
      </c>
      <c r="L103" s="73">
        <v>2803</v>
      </c>
    </row>
    <row r="104" spans="1:12" x14ac:dyDescent="0.2">
      <c r="A104" s="80" t="s">
        <v>27</v>
      </c>
      <c r="C104" s="95">
        <v>120000</v>
      </c>
      <c r="F104" s="84">
        <v>0.45529999999999998</v>
      </c>
      <c r="G104" s="84"/>
      <c r="H104" s="84"/>
      <c r="I104" s="83">
        <v>4553</v>
      </c>
      <c r="J104" s="84">
        <v>2.5000000000000001E-2</v>
      </c>
      <c r="K104" s="83">
        <v>-250</v>
      </c>
      <c r="L104" s="83">
        <v>4303</v>
      </c>
    </row>
  </sheetData>
  <mergeCells count="5">
    <mergeCell ref="A90:L90"/>
    <mergeCell ref="A73:L73"/>
    <mergeCell ref="A34:L34"/>
    <mergeCell ref="A20:L20"/>
    <mergeCell ref="A54:L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2"/>
  <sheetViews>
    <sheetView workbookViewId="0">
      <pane xSplit="1" topLeftCell="B1" activePane="topRight" state="frozen"/>
      <selection pane="topRight" activeCell="F2" sqref="F2"/>
    </sheetView>
  </sheetViews>
  <sheetFormatPr baseColWidth="10" defaultRowHeight="26" x14ac:dyDescent="0.3"/>
  <cols>
    <col min="1" max="1" width="47.33203125" style="223" bestFit="1" customWidth="1"/>
    <col min="2" max="2" width="42.6640625" style="185" bestFit="1" customWidth="1"/>
    <col min="3" max="3" width="49.33203125" style="185" bestFit="1" customWidth="1"/>
    <col min="4" max="4" width="55.1640625" style="185" bestFit="1" customWidth="1"/>
    <col min="5" max="5" width="51" style="185" bestFit="1" customWidth="1"/>
    <col min="6" max="6" width="45.83203125" style="185" bestFit="1" customWidth="1"/>
    <col min="7" max="7" width="27.1640625" style="185" bestFit="1" customWidth="1"/>
    <col min="8" max="8" width="22.1640625" style="185" bestFit="1" customWidth="1"/>
    <col min="9" max="9" width="28.83203125" style="185" bestFit="1" customWidth="1"/>
    <col min="10" max="10" width="16.83203125" style="185" bestFit="1" customWidth="1"/>
    <col min="11" max="11" width="14.6640625" style="185" bestFit="1" customWidth="1"/>
    <col min="12" max="12" width="19.6640625" style="185" bestFit="1" customWidth="1"/>
    <col min="13" max="16384" width="10.83203125" style="185"/>
  </cols>
  <sheetData>
    <row r="1" spans="1:17" s="227" customFormat="1" ht="31" x14ac:dyDescent="0.35">
      <c r="A1" s="225" t="s">
        <v>110</v>
      </c>
      <c r="B1" s="255">
        <v>46265</v>
      </c>
      <c r="C1" s="255">
        <v>46266</v>
      </c>
      <c r="D1" s="255">
        <v>46267</v>
      </c>
      <c r="E1" s="255">
        <v>46268</v>
      </c>
      <c r="F1" s="255">
        <v>46269</v>
      </c>
      <c r="G1" s="226" t="s">
        <v>27</v>
      </c>
    </row>
    <row r="2" spans="1:17" x14ac:dyDescent="0.3">
      <c r="A2" s="221" t="s">
        <v>192</v>
      </c>
      <c r="B2" s="260">
        <v>17128</v>
      </c>
      <c r="C2" s="260">
        <v>17428</v>
      </c>
      <c r="D2" s="260">
        <v>17598</v>
      </c>
      <c r="E2" s="260">
        <v>17848</v>
      </c>
      <c r="F2" s="260">
        <v>18363</v>
      </c>
      <c r="G2" s="260">
        <v>18363</v>
      </c>
    </row>
    <row r="3" spans="1:17" x14ac:dyDescent="0.3">
      <c r="A3" s="218" t="s">
        <v>193</v>
      </c>
      <c r="B3" s="247">
        <v>15000</v>
      </c>
      <c r="C3" s="247">
        <v>15000</v>
      </c>
      <c r="D3" s="247">
        <v>15000</v>
      </c>
      <c r="E3" s="247">
        <v>15000</v>
      </c>
      <c r="F3" s="247">
        <v>15000</v>
      </c>
      <c r="G3" s="247">
        <f>SUM(B3:F3)</f>
        <v>75000</v>
      </c>
    </row>
    <row r="4" spans="1:17" x14ac:dyDescent="0.3">
      <c r="A4" s="249" t="s">
        <v>191</v>
      </c>
      <c r="B4" s="248">
        <v>1000</v>
      </c>
      <c r="C4" s="248">
        <v>1000</v>
      </c>
      <c r="D4" s="248">
        <v>1000</v>
      </c>
      <c r="E4" s="248">
        <v>1000</v>
      </c>
      <c r="F4" s="248">
        <v>1000</v>
      </c>
      <c r="G4" s="248">
        <f>AVERAGE(B4:F4)</f>
        <v>1000</v>
      </c>
    </row>
    <row r="5" spans="1:17" x14ac:dyDescent="0.3">
      <c r="A5" s="219" t="s">
        <v>203</v>
      </c>
      <c r="B5" s="250">
        <f>B4*B6</f>
        <v>15000</v>
      </c>
      <c r="C5" s="250">
        <f>C4*C6</f>
        <v>10000</v>
      </c>
      <c r="D5" s="250">
        <f>D4*D6</f>
        <v>13000</v>
      </c>
      <c r="E5" s="250">
        <f>E4*E6</f>
        <v>16000</v>
      </c>
      <c r="F5" s="250">
        <f>F4*F6</f>
        <v>9000</v>
      </c>
      <c r="G5" s="250">
        <f t="shared" ref="G5:G12" si="0">SUM(B5:F5)</f>
        <v>63000</v>
      </c>
    </row>
    <row r="6" spans="1:17" x14ac:dyDescent="0.3">
      <c r="A6" s="228" t="s">
        <v>194</v>
      </c>
      <c r="B6" s="229">
        <v>15</v>
      </c>
      <c r="C6" s="229">
        <v>10</v>
      </c>
      <c r="D6" s="230">
        <v>13</v>
      </c>
      <c r="E6" s="229">
        <v>16</v>
      </c>
      <c r="F6" s="229">
        <v>9</v>
      </c>
      <c r="G6" s="231">
        <f t="shared" si="0"/>
        <v>63</v>
      </c>
    </row>
    <row r="7" spans="1:17" x14ac:dyDescent="0.3">
      <c r="A7" s="228" t="s">
        <v>117</v>
      </c>
      <c r="B7" s="229">
        <v>15</v>
      </c>
      <c r="C7" s="229">
        <v>3</v>
      </c>
      <c r="D7" s="230">
        <v>7</v>
      </c>
      <c r="E7" s="229">
        <v>13</v>
      </c>
      <c r="F7" s="229">
        <v>9</v>
      </c>
      <c r="G7" s="231">
        <f t="shared" si="0"/>
        <v>47</v>
      </c>
    </row>
    <row r="8" spans="1:17" x14ac:dyDescent="0.3">
      <c r="A8" s="228" t="s">
        <v>118</v>
      </c>
      <c r="B8" s="229">
        <v>0</v>
      </c>
      <c r="C8" s="229">
        <v>7</v>
      </c>
      <c r="D8" s="230">
        <v>6</v>
      </c>
      <c r="E8" s="229">
        <v>3</v>
      </c>
      <c r="F8" s="229">
        <v>0</v>
      </c>
      <c r="G8" s="231">
        <f t="shared" si="0"/>
        <v>16</v>
      </c>
    </row>
    <row r="9" spans="1:17" x14ac:dyDescent="0.3">
      <c r="A9" s="220" t="s">
        <v>195</v>
      </c>
      <c r="B9" s="232">
        <f>B12*B3</f>
        <v>750</v>
      </c>
      <c r="C9" s="232">
        <f>C12*C3</f>
        <v>750</v>
      </c>
      <c r="D9" s="232">
        <f>D12*D3</f>
        <v>750</v>
      </c>
      <c r="E9" s="232">
        <f>E12*E3</f>
        <v>750</v>
      </c>
      <c r="F9" s="232">
        <f>F12*F3</f>
        <v>750</v>
      </c>
      <c r="G9" s="233">
        <f t="shared" si="0"/>
        <v>3750</v>
      </c>
    </row>
    <row r="10" spans="1:17" x14ac:dyDescent="0.3">
      <c r="A10" s="239" t="s">
        <v>199</v>
      </c>
      <c r="B10" s="241">
        <v>300</v>
      </c>
      <c r="C10" s="241">
        <v>205</v>
      </c>
      <c r="D10" s="237">
        <v>280</v>
      </c>
      <c r="E10" s="241">
        <v>530</v>
      </c>
      <c r="F10" s="241">
        <f>450</f>
        <v>450</v>
      </c>
      <c r="G10" s="238">
        <f t="shared" si="0"/>
        <v>1765</v>
      </c>
    </row>
    <row r="11" spans="1:17" x14ac:dyDescent="0.3">
      <c r="A11" s="228" t="s">
        <v>200</v>
      </c>
      <c r="B11" s="242">
        <v>0</v>
      </c>
      <c r="C11" s="242">
        <v>-35</v>
      </c>
      <c r="D11" s="243">
        <v>-30</v>
      </c>
      <c r="E11" s="242">
        <v>-15</v>
      </c>
      <c r="F11" s="242">
        <v>0</v>
      </c>
      <c r="G11" s="244">
        <f t="shared" si="0"/>
        <v>-80</v>
      </c>
    </row>
    <row r="12" spans="1:17" x14ac:dyDescent="0.3">
      <c r="A12" s="220" t="s">
        <v>196</v>
      </c>
      <c r="B12" s="234">
        <v>0.05</v>
      </c>
      <c r="C12" s="234">
        <v>0.05</v>
      </c>
      <c r="D12" s="234">
        <v>0.05</v>
      </c>
      <c r="E12" s="234">
        <v>0.05</v>
      </c>
      <c r="F12" s="234">
        <v>0.05</v>
      </c>
      <c r="G12" s="235">
        <f t="shared" si="0"/>
        <v>0.25</v>
      </c>
    </row>
    <row r="13" spans="1:17" x14ac:dyDescent="0.3">
      <c r="A13" s="239" t="s">
        <v>201</v>
      </c>
      <c r="B13" s="245">
        <f>B10/B3</f>
        <v>0.02</v>
      </c>
      <c r="C13" s="245">
        <f>C10/C3</f>
        <v>1.3666666666666667E-2</v>
      </c>
      <c r="D13" s="245">
        <f>D10/D3</f>
        <v>1.8666666666666668E-2</v>
      </c>
      <c r="E13" s="245">
        <f>E10/E3</f>
        <v>3.5333333333333335E-2</v>
      </c>
      <c r="F13" s="245">
        <f>F10/F3</f>
        <v>0.03</v>
      </c>
      <c r="G13" s="246">
        <f>AVERAGE(B13:F13)</f>
        <v>2.3533333333333333E-2</v>
      </c>
    </row>
    <row r="14" spans="1:17" x14ac:dyDescent="0.3">
      <c r="A14" s="228" t="s">
        <v>202</v>
      </c>
      <c r="B14" s="251">
        <f>B11/B3</f>
        <v>0</v>
      </c>
      <c r="C14" s="251">
        <f>C11/C3</f>
        <v>-2.3333333333333335E-3</v>
      </c>
      <c r="D14" s="251">
        <f>D11/D3</f>
        <v>-2E-3</v>
      </c>
      <c r="E14" s="251">
        <f>E11/E3</f>
        <v>-1E-3</v>
      </c>
      <c r="F14" s="251">
        <f>F11/F3</f>
        <v>0</v>
      </c>
      <c r="G14" s="252">
        <f>SUM(B14:F14)</f>
        <v>-5.3333333333333332E-3</v>
      </c>
    </row>
    <row r="15" spans="1:17" x14ac:dyDescent="0.3">
      <c r="A15" s="236" t="s">
        <v>197</v>
      </c>
      <c r="B15" s="237">
        <f>B10+B11</f>
        <v>300</v>
      </c>
      <c r="C15" s="237">
        <f t="shared" ref="C15:F15" si="1">C10+C11</f>
        <v>170</v>
      </c>
      <c r="D15" s="237">
        <f t="shared" si="1"/>
        <v>250</v>
      </c>
      <c r="E15" s="237">
        <f t="shared" si="1"/>
        <v>515</v>
      </c>
      <c r="F15" s="237">
        <f t="shared" si="1"/>
        <v>450</v>
      </c>
      <c r="G15" s="238">
        <f>SUM(B15:F15)</f>
        <v>1685</v>
      </c>
    </row>
    <row r="16" spans="1:17" x14ac:dyDescent="0.3">
      <c r="A16" s="218" t="s">
        <v>198</v>
      </c>
      <c r="B16" s="186">
        <f>B15/B3</f>
        <v>0.02</v>
      </c>
      <c r="C16" s="186">
        <f>C15/C3</f>
        <v>1.1333333333333334E-2</v>
      </c>
      <c r="D16" s="186">
        <f>D15/D3</f>
        <v>1.6666666666666666E-2</v>
      </c>
      <c r="E16" s="186">
        <f>E15/E3</f>
        <v>3.4333333333333334E-2</v>
      </c>
      <c r="F16" s="186">
        <f>F15/F3</f>
        <v>0.03</v>
      </c>
      <c r="G16" s="187">
        <f>SUM(B16:F16)</f>
        <v>0.11233333333333334</v>
      </c>
      <c r="K16" s="188"/>
      <c r="L16" s="188"/>
      <c r="M16" s="188"/>
      <c r="N16" s="188"/>
      <c r="O16" s="188"/>
      <c r="P16" s="188"/>
      <c r="Q16" s="188"/>
    </row>
    <row r="17" spans="1:17" x14ac:dyDescent="0.3">
      <c r="A17" s="239" t="s">
        <v>204</v>
      </c>
      <c r="B17" s="253">
        <f>(B15/B9)</f>
        <v>0.4</v>
      </c>
      <c r="C17" s="253">
        <f>(C15/C9)</f>
        <v>0.22666666666666666</v>
      </c>
      <c r="D17" s="253">
        <f>(D15/D9)</f>
        <v>0.33333333333333331</v>
      </c>
      <c r="E17" s="253">
        <f>(E15/E9)</f>
        <v>0.68666666666666665</v>
      </c>
      <c r="F17" s="253">
        <f>(F15/F9)</f>
        <v>0.6</v>
      </c>
      <c r="G17" s="240">
        <f>AVERAGE(B17:F17)</f>
        <v>0.44933333333333331</v>
      </c>
      <c r="K17" s="188"/>
      <c r="L17" s="188"/>
      <c r="M17" s="188"/>
      <c r="N17" s="188"/>
      <c r="O17" s="188"/>
      <c r="P17" s="188"/>
      <c r="Q17" s="188"/>
    </row>
    <row r="18" spans="1:17" x14ac:dyDescent="0.3">
      <c r="A18" s="222"/>
      <c r="B18" s="216"/>
      <c r="C18" s="216"/>
      <c r="D18" s="216"/>
      <c r="E18" s="216"/>
      <c r="F18" s="216"/>
      <c r="G18" s="217"/>
    </row>
    <row r="19" spans="1:17" x14ac:dyDescent="0.3">
      <c r="A19" s="222"/>
      <c r="B19" s="216"/>
      <c r="C19" s="216"/>
      <c r="D19" s="216"/>
      <c r="E19" s="216"/>
      <c r="F19" s="216"/>
      <c r="G19" s="217"/>
    </row>
    <row r="20" spans="1:17" x14ac:dyDescent="0.3">
      <c r="A20" s="284" t="s">
        <v>8</v>
      </c>
      <c r="B20" s="284"/>
      <c r="C20" s="284"/>
      <c r="D20" s="284"/>
      <c r="E20" s="284"/>
      <c r="F20" s="284"/>
      <c r="G20" s="284"/>
      <c r="H20" s="284"/>
      <c r="I20" s="284"/>
      <c r="J20" s="284"/>
      <c r="K20" s="210"/>
      <c r="L20" s="210"/>
    </row>
    <row r="21" spans="1:17" x14ac:dyDescent="0.3">
      <c r="A21" s="223" t="s">
        <v>182</v>
      </c>
      <c r="B21" s="189" t="s">
        <v>1</v>
      </c>
      <c r="C21" s="185" t="s">
        <v>131</v>
      </c>
      <c r="D21" s="185" t="s">
        <v>6</v>
      </c>
      <c r="E21" s="185" t="s">
        <v>5</v>
      </c>
      <c r="F21" s="185" t="s">
        <v>3</v>
      </c>
      <c r="G21" s="185" t="s">
        <v>2</v>
      </c>
      <c r="H21" s="185" t="s">
        <v>4</v>
      </c>
      <c r="I21" s="190" t="s">
        <v>9</v>
      </c>
      <c r="J21" s="185" t="s">
        <v>7</v>
      </c>
    </row>
    <row r="22" spans="1:17" x14ac:dyDescent="0.3">
      <c r="A22" s="223">
        <v>1</v>
      </c>
      <c r="B22" s="189" t="s">
        <v>12</v>
      </c>
      <c r="C22" s="188">
        <v>1000</v>
      </c>
      <c r="D22" s="191">
        <v>5.0000000000000001E-3</v>
      </c>
      <c r="E22" s="197">
        <v>0.02</v>
      </c>
      <c r="F22" s="191">
        <v>0.02</v>
      </c>
      <c r="G22" s="188">
        <v>20</v>
      </c>
      <c r="H22" s="191">
        <v>0</v>
      </c>
      <c r="I22" s="190">
        <v>0</v>
      </c>
      <c r="J22" s="211">
        <v>20</v>
      </c>
    </row>
    <row r="23" spans="1:17" x14ac:dyDescent="0.3">
      <c r="A23" s="223">
        <v>2</v>
      </c>
      <c r="B23" s="189" t="s">
        <v>52</v>
      </c>
      <c r="C23" s="188">
        <v>1000</v>
      </c>
      <c r="D23" s="191">
        <v>5.0000000000000001E-3</v>
      </c>
      <c r="E23" s="197">
        <v>0.02</v>
      </c>
      <c r="F23" s="191">
        <v>0.02</v>
      </c>
      <c r="G23" s="188">
        <v>20</v>
      </c>
      <c r="H23" s="191">
        <v>0</v>
      </c>
      <c r="I23" s="190">
        <v>0</v>
      </c>
      <c r="J23" s="211">
        <v>20</v>
      </c>
    </row>
    <row r="24" spans="1:17" x14ac:dyDescent="0.3">
      <c r="A24" s="223">
        <v>3</v>
      </c>
      <c r="B24" s="189" t="s">
        <v>35</v>
      </c>
      <c r="C24" s="188">
        <v>1000</v>
      </c>
      <c r="D24" s="191">
        <v>5.0000000000000001E-3</v>
      </c>
      <c r="E24" s="197">
        <v>0.02</v>
      </c>
      <c r="F24" s="191">
        <v>0.02</v>
      </c>
      <c r="G24" s="188">
        <v>20</v>
      </c>
      <c r="H24" s="191">
        <v>0</v>
      </c>
      <c r="I24" s="190">
        <v>0</v>
      </c>
      <c r="J24" s="211">
        <v>20</v>
      </c>
    </row>
    <row r="25" spans="1:17" x14ac:dyDescent="0.3">
      <c r="A25" s="223">
        <v>4</v>
      </c>
      <c r="B25" s="189" t="s">
        <v>15</v>
      </c>
      <c r="C25" s="188">
        <v>1000</v>
      </c>
      <c r="D25" s="191">
        <v>5.0000000000000001E-3</v>
      </c>
      <c r="E25" s="197">
        <v>0.02</v>
      </c>
      <c r="F25" s="191">
        <v>0.02</v>
      </c>
      <c r="G25" s="188">
        <v>20</v>
      </c>
      <c r="H25" s="191">
        <v>0</v>
      </c>
      <c r="I25" s="190">
        <v>0</v>
      </c>
      <c r="J25" s="211">
        <v>20</v>
      </c>
    </row>
    <row r="26" spans="1:17" x14ac:dyDescent="0.3">
      <c r="A26" s="223">
        <v>5</v>
      </c>
      <c r="B26" s="189" t="s">
        <v>32</v>
      </c>
      <c r="C26" s="188">
        <v>1000</v>
      </c>
      <c r="D26" s="191">
        <v>5.0000000000000001E-3</v>
      </c>
      <c r="E26" s="197">
        <v>0.02</v>
      </c>
      <c r="F26" s="191">
        <v>0.02</v>
      </c>
      <c r="G26" s="188">
        <v>20</v>
      </c>
      <c r="H26" s="191">
        <v>0</v>
      </c>
      <c r="I26" s="190">
        <v>0</v>
      </c>
      <c r="J26" s="211">
        <v>20</v>
      </c>
    </row>
    <row r="27" spans="1:17" x14ac:dyDescent="0.3">
      <c r="A27" s="223">
        <v>6</v>
      </c>
      <c r="B27" s="189" t="s">
        <v>19</v>
      </c>
      <c r="C27" s="188">
        <v>1000</v>
      </c>
      <c r="D27" s="191">
        <v>5.0000000000000001E-3</v>
      </c>
      <c r="E27" s="197">
        <v>0.02</v>
      </c>
      <c r="F27" s="191">
        <v>0.02</v>
      </c>
      <c r="G27" s="188">
        <v>20</v>
      </c>
      <c r="H27" s="191">
        <v>0</v>
      </c>
      <c r="I27" s="190">
        <v>0</v>
      </c>
      <c r="J27" s="211">
        <v>20</v>
      </c>
    </row>
    <row r="28" spans="1:17" x14ac:dyDescent="0.3">
      <c r="A28" s="223">
        <v>7</v>
      </c>
      <c r="B28" s="189" t="s">
        <v>14</v>
      </c>
      <c r="C28" s="188">
        <v>1000</v>
      </c>
      <c r="D28" s="191">
        <v>5.0000000000000001E-3</v>
      </c>
      <c r="E28" s="197">
        <v>0.02</v>
      </c>
      <c r="F28" s="191">
        <v>0.02</v>
      </c>
      <c r="G28" s="188">
        <v>20</v>
      </c>
      <c r="H28" s="191">
        <v>0</v>
      </c>
      <c r="I28" s="190">
        <v>0</v>
      </c>
      <c r="J28" s="211">
        <v>20</v>
      </c>
    </row>
    <row r="29" spans="1:17" x14ac:dyDescent="0.3">
      <c r="A29" s="223">
        <v>8</v>
      </c>
      <c r="B29" s="189" t="s">
        <v>11</v>
      </c>
      <c r="C29" s="188">
        <v>1000</v>
      </c>
      <c r="D29" s="191">
        <v>5.0000000000000001E-3</v>
      </c>
      <c r="E29" s="197">
        <v>0.02</v>
      </c>
      <c r="F29" s="191">
        <v>0.02</v>
      </c>
      <c r="G29" s="188">
        <v>20</v>
      </c>
      <c r="H29" s="191">
        <v>0</v>
      </c>
      <c r="I29" s="190">
        <v>0</v>
      </c>
      <c r="J29" s="211">
        <v>20</v>
      </c>
    </row>
    <row r="30" spans="1:17" x14ac:dyDescent="0.3">
      <c r="A30" s="223">
        <v>9</v>
      </c>
      <c r="B30" s="189" t="s">
        <v>25</v>
      </c>
      <c r="C30" s="188">
        <v>1000</v>
      </c>
      <c r="D30" s="191">
        <v>5.0000000000000001E-3</v>
      </c>
      <c r="E30" s="197">
        <v>0.02</v>
      </c>
      <c r="F30" s="191">
        <v>0.02</v>
      </c>
      <c r="G30" s="188">
        <v>20</v>
      </c>
      <c r="H30" s="191">
        <v>0</v>
      </c>
      <c r="I30" s="190">
        <v>0</v>
      </c>
      <c r="J30" s="211">
        <v>20</v>
      </c>
    </row>
    <row r="31" spans="1:17" x14ac:dyDescent="0.3">
      <c r="A31" s="223">
        <v>10</v>
      </c>
      <c r="B31" s="189" t="s">
        <v>16</v>
      </c>
      <c r="C31" s="188">
        <v>1000</v>
      </c>
      <c r="D31" s="191">
        <v>5.0000000000000001E-3</v>
      </c>
      <c r="E31" s="197">
        <v>0.02</v>
      </c>
      <c r="F31" s="191">
        <v>0.02</v>
      </c>
      <c r="G31" s="188">
        <v>20</v>
      </c>
      <c r="H31" s="191">
        <v>0</v>
      </c>
      <c r="I31" s="190">
        <v>0</v>
      </c>
      <c r="J31" s="211">
        <v>20</v>
      </c>
    </row>
    <row r="32" spans="1:17" x14ac:dyDescent="0.3">
      <c r="A32" s="223">
        <v>11</v>
      </c>
      <c r="B32" s="189" t="s">
        <v>12</v>
      </c>
      <c r="C32" s="188">
        <v>1000</v>
      </c>
      <c r="D32" s="191">
        <v>5.0000000000000001E-3</v>
      </c>
      <c r="E32" s="197">
        <v>0.02</v>
      </c>
      <c r="F32" s="191">
        <v>0.02</v>
      </c>
      <c r="G32" s="188">
        <v>20</v>
      </c>
      <c r="H32" s="191">
        <v>0</v>
      </c>
      <c r="I32" s="190">
        <v>0</v>
      </c>
      <c r="J32" s="211">
        <v>20</v>
      </c>
    </row>
    <row r="33" spans="1:12" x14ac:dyDescent="0.3">
      <c r="A33" s="223">
        <v>12</v>
      </c>
      <c r="B33" s="189" t="s">
        <v>19</v>
      </c>
      <c r="C33" s="188">
        <v>1000</v>
      </c>
      <c r="D33" s="191">
        <v>5.0000000000000001E-3</v>
      </c>
      <c r="E33" s="197">
        <v>0.02</v>
      </c>
      <c r="F33" s="191">
        <v>0.02</v>
      </c>
      <c r="G33" s="188">
        <v>20</v>
      </c>
      <c r="H33" s="191">
        <v>0</v>
      </c>
      <c r="I33" s="190">
        <v>0</v>
      </c>
      <c r="J33" s="211">
        <v>20</v>
      </c>
    </row>
    <row r="34" spans="1:12" x14ac:dyDescent="0.3">
      <c r="A34" s="223">
        <v>13</v>
      </c>
      <c r="B34" s="189" t="s">
        <v>35</v>
      </c>
      <c r="C34" s="188">
        <v>1000</v>
      </c>
      <c r="D34" s="191">
        <v>5.0000000000000001E-3</v>
      </c>
      <c r="E34" s="197">
        <v>0.02</v>
      </c>
      <c r="F34" s="191">
        <v>0.02</v>
      </c>
      <c r="G34" s="188">
        <v>20</v>
      </c>
      <c r="H34" s="191">
        <v>0</v>
      </c>
      <c r="I34" s="190">
        <v>0</v>
      </c>
      <c r="J34" s="211">
        <v>20</v>
      </c>
    </row>
    <row r="35" spans="1:12" x14ac:dyDescent="0.3">
      <c r="A35" s="223">
        <v>14</v>
      </c>
      <c r="B35" s="189" t="s">
        <v>32</v>
      </c>
      <c r="C35" s="188">
        <v>1000</v>
      </c>
      <c r="D35" s="191">
        <v>5.0000000000000001E-3</v>
      </c>
      <c r="E35" s="197">
        <v>0.02</v>
      </c>
      <c r="F35" s="191">
        <v>0.02</v>
      </c>
      <c r="G35" s="188">
        <v>20</v>
      </c>
      <c r="H35" s="191">
        <v>0</v>
      </c>
      <c r="I35" s="190">
        <v>0</v>
      </c>
      <c r="J35" s="211">
        <v>20</v>
      </c>
    </row>
    <row r="36" spans="1:12" x14ac:dyDescent="0.3">
      <c r="A36" s="223">
        <v>15</v>
      </c>
      <c r="B36" s="189" t="s">
        <v>15</v>
      </c>
      <c r="C36" s="188">
        <v>1000</v>
      </c>
      <c r="D36" s="191">
        <v>5.0000000000000001E-3</v>
      </c>
      <c r="E36" s="197">
        <v>0.02</v>
      </c>
      <c r="F36" s="191">
        <v>0.02</v>
      </c>
      <c r="G36" s="188">
        <v>20</v>
      </c>
      <c r="H36" s="191">
        <v>0</v>
      </c>
      <c r="I36" s="190">
        <v>0</v>
      </c>
      <c r="J36" s="211">
        <v>20</v>
      </c>
      <c r="K36" s="190"/>
    </row>
    <row r="37" spans="1:12" x14ac:dyDescent="0.3">
      <c r="A37" s="223" t="s">
        <v>184</v>
      </c>
      <c r="B37" s="189"/>
      <c r="C37" s="188">
        <f>SUM(C22:C36)</f>
        <v>15000</v>
      </c>
      <c r="F37" s="191">
        <f>SUM(F22:F36)</f>
        <v>0.3</v>
      </c>
      <c r="G37" s="188">
        <f>SUM(G22:G36)</f>
        <v>300</v>
      </c>
      <c r="H37" s="191">
        <f>SUM(H22:H36)</f>
        <v>0</v>
      </c>
      <c r="I37" s="188"/>
      <c r="J37" s="196">
        <f>SUM(J22:J36)</f>
        <v>300</v>
      </c>
      <c r="K37" s="190"/>
      <c r="L37" s="188"/>
    </row>
    <row r="38" spans="1:12" x14ac:dyDescent="0.3">
      <c r="B38" s="189"/>
      <c r="C38" s="188"/>
      <c r="F38" s="191"/>
      <c r="G38" s="188"/>
      <c r="H38" s="191"/>
      <c r="I38" s="188"/>
      <c r="J38" s="196"/>
      <c r="K38" s="190"/>
      <c r="L38" s="188"/>
    </row>
    <row r="39" spans="1:12" x14ac:dyDescent="0.3">
      <c r="A39" s="223" t="s">
        <v>190</v>
      </c>
      <c r="B39" s="189"/>
      <c r="C39" s="188">
        <f>AVERAGE(C22:C36)</f>
        <v>1000</v>
      </c>
      <c r="D39" s="205">
        <f t="shared" ref="D39:J39" si="2">AVERAGE(D22:D36)</f>
        <v>5.0000000000000001E-3</v>
      </c>
      <c r="E39" s="205">
        <f t="shared" si="2"/>
        <v>0.02</v>
      </c>
      <c r="F39" s="205">
        <f t="shared" si="2"/>
        <v>0.02</v>
      </c>
      <c r="G39" s="204">
        <f t="shared" si="2"/>
        <v>20</v>
      </c>
      <c r="H39" s="205">
        <f t="shared" si="2"/>
        <v>0</v>
      </c>
      <c r="I39" s="188">
        <f t="shared" si="2"/>
        <v>0</v>
      </c>
      <c r="J39" s="188">
        <f t="shared" si="2"/>
        <v>20</v>
      </c>
      <c r="K39" s="190"/>
      <c r="L39" s="188"/>
    </row>
    <row r="40" spans="1:12" x14ac:dyDescent="0.3">
      <c r="A40" s="254" t="s">
        <v>189</v>
      </c>
      <c r="B40" s="189"/>
      <c r="C40" s="188"/>
      <c r="F40" s="191"/>
      <c r="G40" s="188"/>
      <c r="H40" s="191"/>
      <c r="I40" s="188"/>
      <c r="J40" s="196"/>
      <c r="K40" s="190"/>
      <c r="L40" s="188"/>
    </row>
    <row r="41" spans="1:12" x14ac:dyDescent="0.3">
      <c r="A41" s="222" t="s">
        <v>157</v>
      </c>
      <c r="B41" s="189"/>
      <c r="C41" s="188"/>
      <c r="F41" s="191"/>
      <c r="G41" s="188"/>
      <c r="H41" s="191"/>
      <c r="I41" s="188"/>
      <c r="J41" s="196"/>
      <c r="K41" s="190"/>
      <c r="L41" s="188"/>
    </row>
    <row r="42" spans="1:12" x14ac:dyDescent="0.3">
      <c r="B42" s="189"/>
      <c r="C42" s="188"/>
      <c r="F42" s="191"/>
      <c r="G42" s="188"/>
      <c r="H42" s="191"/>
      <c r="I42" s="188"/>
      <c r="J42" s="196"/>
      <c r="K42" s="190"/>
      <c r="L42" s="188"/>
    </row>
    <row r="43" spans="1:12" x14ac:dyDescent="0.3">
      <c r="B43" s="189"/>
      <c r="C43" s="188"/>
      <c r="F43" s="191"/>
      <c r="G43" s="188"/>
      <c r="H43" s="191"/>
      <c r="I43" s="188"/>
      <c r="J43" s="196"/>
      <c r="K43" s="190"/>
      <c r="L43" s="188"/>
    </row>
    <row r="44" spans="1:12" x14ac:dyDescent="0.3">
      <c r="B44" s="189"/>
      <c r="C44" s="188"/>
      <c r="F44" s="191"/>
      <c r="G44" s="188"/>
      <c r="H44" s="191"/>
      <c r="I44" s="188"/>
      <c r="J44" s="196"/>
      <c r="K44" s="190"/>
      <c r="L44" s="188"/>
    </row>
    <row r="45" spans="1:12" x14ac:dyDescent="0.3">
      <c r="B45" s="189"/>
      <c r="C45" s="188"/>
      <c r="F45" s="191"/>
      <c r="G45" s="188"/>
      <c r="H45" s="191"/>
      <c r="I45" s="188"/>
      <c r="J45" s="196"/>
      <c r="K45" s="190"/>
      <c r="L45" s="188"/>
    </row>
    <row r="46" spans="1:12" x14ac:dyDescent="0.3">
      <c r="A46" s="284" t="s">
        <v>29</v>
      </c>
      <c r="B46" s="284"/>
      <c r="C46" s="284"/>
      <c r="D46" s="284"/>
      <c r="E46" s="284"/>
      <c r="F46" s="284"/>
      <c r="G46" s="284"/>
      <c r="H46" s="284"/>
      <c r="I46" s="284"/>
      <c r="J46" s="284"/>
      <c r="K46" s="284"/>
      <c r="L46" s="284"/>
    </row>
    <row r="47" spans="1:12" x14ac:dyDescent="0.3">
      <c r="A47" s="223" t="s">
        <v>182</v>
      </c>
      <c r="B47" s="189" t="s">
        <v>1</v>
      </c>
      <c r="C47" s="185" t="s">
        <v>131</v>
      </c>
      <c r="D47" s="185" t="s">
        <v>6</v>
      </c>
      <c r="E47" s="185" t="s">
        <v>5</v>
      </c>
      <c r="F47" s="185" t="s">
        <v>3</v>
      </c>
      <c r="G47" s="185" t="s">
        <v>2</v>
      </c>
      <c r="H47" s="185" t="s">
        <v>4</v>
      </c>
      <c r="I47" s="190" t="s">
        <v>9</v>
      </c>
      <c r="J47" s="185" t="s">
        <v>7</v>
      </c>
    </row>
    <row r="48" spans="1:12" x14ac:dyDescent="0.3">
      <c r="A48" s="223">
        <v>1</v>
      </c>
      <c r="B48" s="189" t="s">
        <v>52</v>
      </c>
      <c r="C48" s="188">
        <v>1000</v>
      </c>
      <c r="D48" s="191">
        <v>5.0000000000000001E-3</v>
      </c>
      <c r="E48" s="212">
        <v>0.1</v>
      </c>
      <c r="F48" s="191">
        <v>6.5000000000000002E-2</v>
      </c>
      <c r="G48" s="188">
        <v>65</v>
      </c>
      <c r="H48" s="191">
        <v>0</v>
      </c>
      <c r="I48" s="213">
        <v>0</v>
      </c>
      <c r="J48" s="211">
        <v>65</v>
      </c>
    </row>
    <row r="49" spans="1:10" x14ac:dyDescent="0.3">
      <c r="A49" s="223">
        <v>2</v>
      </c>
      <c r="B49" s="189" t="s">
        <v>32</v>
      </c>
      <c r="C49" s="188">
        <v>1000</v>
      </c>
      <c r="D49" s="191">
        <v>5.0000000000000001E-3</v>
      </c>
      <c r="E49" s="212">
        <v>0.1</v>
      </c>
      <c r="F49" s="191">
        <v>7.0000000000000007E-2</v>
      </c>
      <c r="G49" s="188">
        <v>70</v>
      </c>
      <c r="H49" s="191">
        <v>0</v>
      </c>
      <c r="I49" s="213">
        <v>0</v>
      </c>
      <c r="J49" s="211">
        <v>70</v>
      </c>
    </row>
    <row r="50" spans="1:10" x14ac:dyDescent="0.3">
      <c r="A50" s="223">
        <v>3</v>
      </c>
      <c r="B50" s="189" t="s">
        <v>35</v>
      </c>
      <c r="C50" s="188">
        <v>1000</v>
      </c>
      <c r="D50" s="191">
        <v>5.0000000000000001E-3</v>
      </c>
      <c r="E50" s="212">
        <v>0.1</v>
      </c>
      <c r="F50" s="191">
        <v>7.0000000000000007E-2</v>
      </c>
      <c r="G50" s="188">
        <v>70</v>
      </c>
      <c r="H50" s="191">
        <v>0</v>
      </c>
      <c r="I50" s="213">
        <v>0</v>
      </c>
      <c r="J50" s="211">
        <v>70</v>
      </c>
    </row>
    <row r="51" spans="1:10" x14ac:dyDescent="0.3">
      <c r="A51" s="223">
        <v>4</v>
      </c>
      <c r="B51" s="189" t="s">
        <v>15</v>
      </c>
      <c r="C51" s="188">
        <v>1000</v>
      </c>
      <c r="D51" s="191">
        <v>5.0000000000000001E-3</v>
      </c>
      <c r="E51" s="197">
        <v>0.02</v>
      </c>
      <c r="F51" s="191">
        <v>0</v>
      </c>
      <c r="G51" s="188">
        <v>0</v>
      </c>
      <c r="H51" s="191">
        <v>-5.0000000000000001E-3</v>
      </c>
      <c r="I51" s="190">
        <v>-5</v>
      </c>
      <c r="J51" s="211">
        <v>-5</v>
      </c>
    </row>
    <row r="52" spans="1:10" x14ac:dyDescent="0.3">
      <c r="A52" s="223">
        <v>5</v>
      </c>
      <c r="B52" s="189" t="s">
        <v>186</v>
      </c>
      <c r="C52" s="188">
        <v>1000</v>
      </c>
      <c r="D52" s="191">
        <v>5.0000000000000001E-3</v>
      </c>
      <c r="E52" s="197">
        <v>0.02</v>
      </c>
      <c r="F52" s="191">
        <v>0</v>
      </c>
      <c r="G52" s="188">
        <v>0</v>
      </c>
      <c r="H52" s="191">
        <v>-5.0000000000000001E-3</v>
      </c>
      <c r="I52" s="190">
        <v>-5</v>
      </c>
      <c r="J52" s="211">
        <v>-5</v>
      </c>
    </row>
    <row r="53" spans="1:10" x14ac:dyDescent="0.3">
      <c r="A53" s="223">
        <v>6</v>
      </c>
      <c r="B53" s="189" t="s">
        <v>16</v>
      </c>
      <c r="C53" s="188">
        <v>1000</v>
      </c>
      <c r="D53" s="191">
        <v>5.0000000000000001E-3</v>
      </c>
      <c r="E53" s="197">
        <v>0.02</v>
      </c>
      <c r="F53" s="191">
        <v>0</v>
      </c>
      <c r="G53" s="188">
        <v>0</v>
      </c>
      <c r="H53" s="191">
        <v>-5.0000000000000001E-3</v>
      </c>
      <c r="I53" s="190">
        <v>-5</v>
      </c>
      <c r="J53" s="211">
        <v>-5</v>
      </c>
    </row>
    <row r="54" spans="1:10" x14ac:dyDescent="0.3">
      <c r="A54" s="223">
        <v>7</v>
      </c>
      <c r="B54" s="189" t="s">
        <v>25</v>
      </c>
      <c r="C54" s="188">
        <v>1000</v>
      </c>
      <c r="D54" s="191">
        <v>5.0000000000000001E-3</v>
      </c>
      <c r="E54" s="197">
        <v>0.02</v>
      </c>
      <c r="F54" s="191">
        <v>0</v>
      </c>
      <c r="G54" s="188">
        <v>0</v>
      </c>
      <c r="H54" s="191">
        <v>-5.0000000000000001E-3</v>
      </c>
      <c r="I54" s="190">
        <v>-5</v>
      </c>
      <c r="J54" s="211">
        <v>-5</v>
      </c>
    </row>
    <row r="55" spans="1:10" x14ac:dyDescent="0.3">
      <c r="A55" s="223">
        <v>8</v>
      </c>
      <c r="B55" s="189" t="s">
        <v>187</v>
      </c>
      <c r="C55" s="188">
        <v>1000</v>
      </c>
      <c r="D55" s="191">
        <v>5.0000000000000001E-3</v>
      </c>
      <c r="E55" s="197">
        <v>0.02</v>
      </c>
      <c r="F55" s="191">
        <v>0</v>
      </c>
      <c r="G55" s="188">
        <v>0</v>
      </c>
      <c r="H55" s="191">
        <v>-5.0000000000000001E-3</v>
      </c>
      <c r="I55" s="190">
        <v>-5</v>
      </c>
      <c r="J55" s="211">
        <v>-5</v>
      </c>
    </row>
    <row r="56" spans="1:10" x14ac:dyDescent="0.3">
      <c r="A56" s="223">
        <v>9</v>
      </c>
      <c r="B56" s="189" t="s">
        <v>69</v>
      </c>
      <c r="C56" s="188">
        <v>1000</v>
      </c>
      <c r="D56" s="191">
        <v>5.0000000000000001E-3</v>
      </c>
      <c r="E56" s="197">
        <v>0.02</v>
      </c>
      <c r="F56" s="191">
        <v>0</v>
      </c>
      <c r="G56" s="188">
        <v>0</v>
      </c>
      <c r="H56" s="191">
        <v>-5.0000000000000001E-3</v>
      </c>
      <c r="I56" s="190">
        <v>-5</v>
      </c>
      <c r="J56" s="211">
        <v>-5</v>
      </c>
    </row>
    <row r="57" spans="1:10" x14ac:dyDescent="0.3">
      <c r="A57" s="223">
        <v>10</v>
      </c>
      <c r="B57" s="189" t="s">
        <v>22</v>
      </c>
      <c r="C57" s="188">
        <v>1000</v>
      </c>
      <c r="D57" s="191">
        <v>5.0000000000000001E-3</v>
      </c>
      <c r="E57" s="197">
        <v>0.02</v>
      </c>
      <c r="F57" s="191">
        <v>0</v>
      </c>
      <c r="G57" s="188">
        <v>0</v>
      </c>
      <c r="H57" s="191">
        <v>-5.0000000000000001E-3</v>
      </c>
      <c r="I57" s="190">
        <v>-5</v>
      </c>
      <c r="J57" s="211">
        <v>-5</v>
      </c>
    </row>
    <row r="58" spans="1:10" x14ac:dyDescent="0.3">
      <c r="A58" s="223" t="s">
        <v>184</v>
      </c>
      <c r="C58" s="188">
        <f>SUM(C48:C57)</f>
        <v>10000</v>
      </c>
      <c r="E58" s="197"/>
      <c r="F58" s="191">
        <f>SUM(F48:F57)</f>
        <v>0.20500000000000002</v>
      </c>
      <c r="G58" s="188">
        <f>SUM(G48:G57)</f>
        <v>205</v>
      </c>
      <c r="H58" s="191">
        <f>SUM(H48:H57)</f>
        <v>-3.5000000000000003E-2</v>
      </c>
      <c r="J58" s="198">
        <f>SUM(J48:J57)</f>
        <v>170</v>
      </c>
    </row>
    <row r="59" spans="1:10" x14ac:dyDescent="0.3">
      <c r="A59" s="223" t="s">
        <v>190</v>
      </c>
      <c r="C59" s="188">
        <f>AVERAGE(C48:C57)</f>
        <v>1000</v>
      </c>
      <c r="D59" s="205">
        <f t="shared" ref="D59:J59" si="3">AVERAGE(D48:D57)</f>
        <v>4.9999999999999992E-3</v>
      </c>
      <c r="E59" s="205">
        <f t="shared" si="3"/>
        <v>4.4000000000000018E-2</v>
      </c>
      <c r="F59" s="208">
        <f t="shared" si="3"/>
        <v>2.0500000000000001E-2</v>
      </c>
      <c r="G59" s="188">
        <f t="shared" si="3"/>
        <v>20.5</v>
      </c>
      <c r="H59" s="209">
        <f t="shared" si="3"/>
        <v>-3.5000000000000005E-3</v>
      </c>
      <c r="I59" s="188">
        <f t="shared" si="3"/>
        <v>-3.5</v>
      </c>
      <c r="J59" s="188">
        <f t="shared" si="3"/>
        <v>17</v>
      </c>
    </row>
    <row r="60" spans="1:10" x14ac:dyDescent="0.3">
      <c r="C60" s="188"/>
      <c r="D60" s="188"/>
      <c r="E60" s="188"/>
      <c r="F60" s="188"/>
      <c r="G60" s="188"/>
      <c r="H60" s="188"/>
      <c r="I60" s="188"/>
      <c r="J60" s="188"/>
    </row>
    <row r="61" spans="1:10" x14ac:dyDescent="0.3">
      <c r="C61" s="188"/>
      <c r="D61" s="188"/>
      <c r="E61" s="188"/>
      <c r="F61" s="188"/>
      <c r="G61" s="188"/>
      <c r="H61" s="188"/>
      <c r="I61" s="188"/>
      <c r="J61" s="188"/>
    </row>
    <row r="62" spans="1:10" x14ac:dyDescent="0.3">
      <c r="A62" s="284" t="s">
        <v>40</v>
      </c>
      <c r="B62" s="284"/>
      <c r="C62" s="284"/>
      <c r="D62" s="284"/>
      <c r="E62" s="284"/>
      <c r="F62" s="284"/>
      <c r="G62" s="284"/>
      <c r="H62" s="284"/>
      <c r="I62" s="284"/>
      <c r="J62" s="284"/>
    </row>
    <row r="63" spans="1:10" x14ac:dyDescent="0.3">
      <c r="A63" s="224" t="s">
        <v>182</v>
      </c>
      <c r="B63" s="194" t="s">
        <v>1</v>
      </c>
      <c r="C63" s="193" t="s">
        <v>131</v>
      </c>
      <c r="D63" s="193" t="s">
        <v>6</v>
      </c>
      <c r="E63" s="193" t="s">
        <v>5</v>
      </c>
      <c r="F63" s="193" t="s">
        <v>3</v>
      </c>
      <c r="G63" s="193" t="s">
        <v>2</v>
      </c>
      <c r="H63" s="193" t="s">
        <v>4</v>
      </c>
      <c r="I63" s="195" t="s">
        <v>185</v>
      </c>
      <c r="J63" s="193" t="s">
        <v>7</v>
      </c>
    </row>
    <row r="64" spans="1:10" x14ac:dyDescent="0.3">
      <c r="A64" s="224">
        <v>1</v>
      </c>
      <c r="B64" s="194" t="s">
        <v>12</v>
      </c>
      <c r="C64" s="200">
        <v>1000</v>
      </c>
      <c r="D64" s="201">
        <v>5.0000000000000001E-3</v>
      </c>
      <c r="E64" s="212">
        <v>0.05</v>
      </c>
      <c r="F64" s="201">
        <v>0.04</v>
      </c>
      <c r="G64" s="200">
        <v>40</v>
      </c>
      <c r="H64" s="201">
        <v>0</v>
      </c>
      <c r="I64" s="195">
        <v>0</v>
      </c>
      <c r="J64" s="203">
        <v>40</v>
      </c>
    </row>
    <row r="65" spans="1:10" x14ac:dyDescent="0.3">
      <c r="A65" s="224">
        <v>2</v>
      </c>
      <c r="B65" s="194" t="s">
        <v>19</v>
      </c>
      <c r="C65" s="200">
        <v>1000</v>
      </c>
      <c r="D65" s="201">
        <v>5.0000000000000001E-3</v>
      </c>
      <c r="E65" s="212">
        <v>0.05</v>
      </c>
      <c r="F65" s="201">
        <v>0.04</v>
      </c>
      <c r="G65" s="200">
        <v>40</v>
      </c>
      <c r="H65" s="201">
        <v>0</v>
      </c>
      <c r="I65" s="195">
        <v>0</v>
      </c>
      <c r="J65" s="203">
        <v>40</v>
      </c>
    </row>
    <row r="66" spans="1:10" x14ac:dyDescent="0.3">
      <c r="A66" s="224">
        <v>3</v>
      </c>
      <c r="B66" s="194" t="s">
        <v>15</v>
      </c>
      <c r="C66" s="200">
        <v>1000</v>
      </c>
      <c r="D66" s="201">
        <v>5.0000000000000001E-3</v>
      </c>
      <c r="E66" s="212">
        <v>0.05</v>
      </c>
      <c r="F66" s="201">
        <v>0.04</v>
      </c>
      <c r="G66" s="200">
        <v>40</v>
      </c>
      <c r="H66" s="201">
        <v>0</v>
      </c>
      <c r="I66" s="195">
        <v>0</v>
      </c>
      <c r="J66" s="203">
        <v>40</v>
      </c>
    </row>
    <row r="67" spans="1:10" x14ac:dyDescent="0.3">
      <c r="A67" s="224">
        <v>4</v>
      </c>
      <c r="B67" s="194" t="s">
        <v>11</v>
      </c>
      <c r="C67" s="200">
        <v>1000</v>
      </c>
      <c r="D67" s="201">
        <v>5.0000000000000001E-3</v>
      </c>
      <c r="E67" s="212">
        <v>0.05</v>
      </c>
      <c r="F67" s="201">
        <v>0.04</v>
      </c>
      <c r="G67" s="200">
        <v>40</v>
      </c>
      <c r="H67" s="201">
        <v>0</v>
      </c>
      <c r="I67" s="195">
        <v>0</v>
      </c>
      <c r="J67" s="203">
        <v>40</v>
      </c>
    </row>
    <row r="68" spans="1:10" x14ac:dyDescent="0.3">
      <c r="A68" s="224">
        <v>5</v>
      </c>
      <c r="B68" s="194" t="s">
        <v>13</v>
      </c>
      <c r="C68" s="200">
        <v>1000</v>
      </c>
      <c r="D68" s="201">
        <v>5.0000000000000001E-3</v>
      </c>
      <c r="E68" s="212">
        <v>0.05</v>
      </c>
      <c r="F68" s="201">
        <v>0.04</v>
      </c>
      <c r="G68" s="200">
        <v>40</v>
      </c>
      <c r="H68" s="201">
        <v>0</v>
      </c>
      <c r="I68" s="195">
        <v>0</v>
      </c>
      <c r="J68" s="203">
        <v>40</v>
      </c>
    </row>
    <row r="69" spans="1:10" x14ac:dyDescent="0.3">
      <c r="A69" s="224">
        <v>6</v>
      </c>
      <c r="B69" s="194" t="s">
        <v>188</v>
      </c>
      <c r="C69" s="200">
        <v>1000</v>
      </c>
      <c r="D69" s="201">
        <v>5.0000000000000001E-3</v>
      </c>
      <c r="E69" s="212">
        <v>0.05</v>
      </c>
      <c r="F69" s="201">
        <v>0.04</v>
      </c>
      <c r="G69" s="200">
        <v>40</v>
      </c>
      <c r="H69" s="201">
        <v>0</v>
      </c>
      <c r="I69" s="195">
        <v>0</v>
      </c>
      <c r="J69" s="203">
        <v>40</v>
      </c>
    </row>
    <row r="70" spans="1:10" x14ac:dyDescent="0.3">
      <c r="A70" s="224">
        <v>7</v>
      </c>
      <c r="B70" s="194" t="s">
        <v>14</v>
      </c>
      <c r="C70" s="200">
        <v>1000</v>
      </c>
      <c r="D70" s="201">
        <v>5.0000000000000001E-3</v>
      </c>
      <c r="E70" s="212">
        <v>0.05</v>
      </c>
      <c r="F70" s="201">
        <v>0.04</v>
      </c>
      <c r="G70" s="200">
        <v>40</v>
      </c>
      <c r="H70" s="201">
        <v>0</v>
      </c>
      <c r="I70" s="195">
        <v>0</v>
      </c>
      <c r="J70" s="203">
        <v>40</v>
      </c>
    </row>
    <row r="71" spans="1:10" x14ac:dyDescent="0.3">
      <c r="A71" s="224">
        <v>8</v>
      </c>
      <c r="B71" s="194" t="s">
        <v>32</v>
      </c>
      <c r="C71" s="200">
        <v>1000</v>
      </c>
      <c r="D71" s="201">
        <v>5.0000000000000001E-3</v>
      </c>
      <c r="E71" s="212">
        <v>0.05</v>
      </c>
      <c r="F71" s="201">
        <v>0</v>
      </c>
      <c r="G71" s="200">
        <v>0</v>
      </c>
      <c r="H71" s="201">
        <v>-5.0000000000000001E-3</v>
      </c>
      <c r="I71" s="195">
        <v>-5</v>
      </c>
      <c r="J71" s="214">
        <v>-5</v>
      </c>
    </row>
    <row r="72" spans="1:10" x14ac:dyDescent="0.3">
      <c r="A72" s="224">
        <v>9</v>
      </c>
      <c r="B72" s="194" t="s">
        <v>25</v>
      </c>
      <c r="C72" s="200">
        <v>1000</v>
      </c>
      <c r="D72" s="201">
        <v>5.0000000000000001E-3</v>
      </c>
      <c r="E72" s="212">
        <v>0.05</v>
      </c>
      <c r="F72" s="201">
        <v>0</v>
      </c>
      <c r="G72" s="200">
        <v>0</v>
      </c>
      <c r="H72" s="201">
        <v>-5.0000000000000001E-3</v>
      </c>
      <c r="I72" s="195">
        <v>-5</v>
      </c>
      <c r="J72" s="214">
        <v>-5</v>
      </c>
    </row>
    <row r="73" spans="1:10" x14ac:dyDescent="0.3">
      <c r="A73" s="224">
        <v>10</v>
      </c>
      <c r="B73" s="194" t="s">
        <v>52</v>
      </c>
      <c r="C73" s="200">
        <v>1000</v>
      </c>
      <c r="D73" s="201">
        <v>5.0000000000000001E-3</v>
      </c>
      <c r="E73" s="212">
        <v>0.05</v>
      </c>
      <c r="F73" s="201">
        <v>0</v>
      </c>
      <c r="G73" s="200">
        <v>0</v>
      </c>
      <c r="H73" s="201">
        <v>-5.0000000000000001E-3</v>
      </c>
      <c r="I73" s="195">
        <v>-5</v>
      </c>
      <c r="J73" s="214">
        <v>-5</v>
      </c>
    </row>
    <row r="74" spans="1:10" x14ac:dyDescent="0.3">
      <c r="A74" s="224">
        <v>11</v>
      </c>
      <c r="B74" s="194" t="s">
        <v>69</v>
      </c>
      <c r="C74" s="200">
        <v>1000</v>
      </c>
      <c r="D74" s="201">
        <v>5.0000000000000001E-3</v>
      </c>
      <c r="E74" s="212">
        <v>0.05</v>
      </c>
      <c r="F74" s="201">
        <v>0</v>
      </c>
      <c r="G74" s="200">
        <v>0</v>
      </c>
      <c r="H74" s="201">
        <v>-5.0000000000000001E-3</v>
      </c>
      <c r="I74" s="195">
        <v>-5</v>
      </c>
      <c r="J74" s="214">
        <v>-5</v>
      </c>
    </row>
    <row r="75" spans="1:10" x14ac:dyDescent="0.3">
      <c r="A75" s="224">
        <v>12</v>
      </c>
      <c r="B75" s="194" t="s">
        <v>22</v>
      </c>
      <c r="C75" s="200">
        <v>1000</v>
      </c>
      <c r="D75" s="201">
        <v>5.0000000000000001E-3</v>
      </c>
      <c r="E75" s="212">
        <v>0.05</v>
      </c>
      <c r="F75" s="201">
        <v>0</v>
      </c>
      <c r="G75" s="200">
        <v>0</v>
      </c>
      <c r="H75" s="201">
        <v>-5.0000000000000001E-3</v>
      </c>
      <c r="I75" s="195">
        <v>-5</v>
      </c>
      <c r="J75" s="214">
        <v>-5</v>
      </c>
    </row>
    <row r="76" spans="1:10" x14ac:dyDescent="0.3">
      <c r="A76" s="224">
        <v>13</v>
      </c>
      <c r="B76" s="194" t="s">
        <v>19</v>
      </c>
      <c r="C76" s="200">
        <v>1000</v>
      </c>
      <c r="D76" s="201">
        <v>5.0000000000000001E-3</v>
      </c>
      <c r="E76" s="212">
        <v>0.05</v>
      </c>
      <c r="F76" s="201">
        <v>0</v>
      </c>
      <c r="G76" s="200">
        <v>0</v>
      </c>
      <c r="H76" s="201">
        <v>-5.0000000000000001E-3</v>
      </c>
      <c r="I76" s="195">
        <v>-5</v>
      </c>
      <c r="J76" s="214">
        <v>-5</v>
      </c>
    </row>
    <row r="77" spans="1:10" x14ac:dyDescent="0.3">
      <c r="A77" s="223" t="s">
        <v>184</v>
      </c>
      <c r="C77" s="188">
        <f>SUM(C64:C76)</f>
        <v>13000</v>
      </c>
      <c r="F77" s="191">
        <f>SUM(F64:F76)</f>
        <v>0.28000000000000003</v>
      </c>
      <c r="G77" s="188">
        <f>SUM(G64:G76)</f>
        <v>280</v>
      </c>
      <c r="H77" s="191">
        <f>SUM(H64:H76)</f>
        <v>-3.0000000000000002E-2</v>
      </c>
      <c r="I77" s="207">
        <f>SUM(I64:I76)</f>
        <v>-30</v>
      </c>
      <c r="J77" s="196">
        <f>SUM(J64:J76)</f>
        <v>250</v>
      </c>
    </row>
    <row r="78" spans="1:10" x14ac:dyDescent="0.3">
      <c r="A78" s="223" t="s">
        <v>190</v>
      </c>
      <c r="C78" s="188">
        <f>AVERAGE(C64:C76)</f>
        <v>1000</v>
      </c>
      <c r="D78" s="205">
        <f t="shared" ref="D78:J78" si="4">AVERAGE(D64:D76)</f>
        <v>4.9999999999999992E-3</v>
      </c>
      <c r="E78" s="205">
        <f t="shared" si="4"/>
        <v>0.05</v>
      </c>
      <c r="F78" s="205">
        <f t="shared" si="4"/>
        <v>2.1538461538461541E-2</v>
      </c>
      <c r="G78" s="204">
        <f t="shared" si="4"/>
        <v>21.53846153846154</v>
      </c>
      <c r="H78" s="205">
        <f t="shared" si="4"/>
        <v>-2.3076923076923079E-3</v>
      </c>
      <c r="I78" s="188">
        <f t="shared" si="4"/>
        <v>-2.3076923076923075</v>
      </c>
      <c r="J78" s="188">
        <f t="shared" si="4"/>
        <v>19.23076923076923</v>
      </c>
    </row>
    <row r="79" spans="1:10" x14ac:dyDescent="0.3">
      <c r="A79" s="284" t="s">
        <v>41</v>
      </c>
      <c r="B79" s="284"/>
      <c r="C79" s="284"/>
      <c r="D79" s="284"/>
      <c r="E79" s="284"/>
      <c r="F79" s="284"/>
      <c r="G79" s="284"/>
      <c r="H79" s="284"/>
      <c r="I79" s="284"/>
      <c r="J79" s="284"/>
    </row>
    <row r="80" spans="1:10" x14ac:dyDescent="0.3">
      <c r="A80" s="224" t="s">
        <v>182</v>
      </c>
      <c r="B80" s="194" t="s">
        <v>1</v>
      </c>
      <c r="C80" s="193" t="s">
        <v>131</v>
      </c>
      <c r="D80" s="193" t="s">
        <v>6</v>
      </c>
      <c r="E80" s="193" t="s">
        <v>5</v>
      </c>
      <c r="F80" s="193" t="s">
        <v>3</v>
      </c>
      <c r="G80" s="193" t="s">
        <v>2</v>
      </c>
      <c r="H80" s="193" t="s">
        <v>4</v>
      </c>
      <c r="I80" s="195" t="s">
        <v>185</v>
      </c>
      <c r="J80" s="193" t="s">
        <v>7</v>
      </c>
    </row>
    <row r="81" spans="1:10" x14ac:dyDescent="0.3">
      <c r="A81" s="224">
        <v>1</v>
      </c>
      <c r="B81" s="194" t="s">
        <v>11</v>
      </c>
      <c r="C81" s="200">
        <v>1000</v>
      </c>
      <c r="D81" s="201">
        <v>5.0000000000000001E-3</v>
      </c>
      <c r="E81" s="202">
        <v>0.02</v>
      </c>
      <c r="F81" s="201">
        <v>0.02</v>
      </c>
      <c r="G81" s="200">
        <v>20</v>
      </c>
      <c r="H81" s="201">
        <v>0</v>
      </c>
      <c r="I81" s="195">
        <v>0</v>
      </c>
      <c r="J81" s="203">
        <v>20</v>
      </c>
    </row>
    <row r="82" spans="1:10" x14ac:dyDescent="0.3">
      <c r="A82" s="224">
        <v>2</v>
      </c>
      <c r="B82" s="194" t="s">
        <v>13</v>
      </c>
      <c r="C82" s="200">
        <v>1000</v>
      </c>
      <c r="D82" s="201">
        <v>5.0000000000000001E-3</v>
      </c>
      <c r="E82" s="202">
        <v>0.02</v>
      </c>
      <c r="F82" s="201">
        <v>0</v>
      </c>
      <c r="G82" s="200">
        <v>0</v>
      </c>
      <c r="H82" s="201">
        <v>-5.0000000000000001E-3</v>
      </c>
      <c r="I82" s="195">
        <v>-5</v>
      </c>
      <c r="J82" s="203">
        <v>-5</v>
      </c>
    </row>
    <row r="83" spans="1:10" x14ac:dyDescent="0.3">
      <c r="A83" s="224">
        <v>3</v>
      </c>
      <c r="B83" s="194" t="s">
        <v>69</v>
      </c>
      <c r="C83" s="200">
        <v>1000</v>
      </c>
      <c r="D83" s="201">
        <v>5.0000000000000001E-3</v>
      </c>
      <c r="E83" s="202">
        <v>0.02</v>
      </c>
      <c r="F83" s="201">
        <v>0</v>
      </c>
      <c r="G83" s="200">
        <v>0</v>
      </c>
      <c r="H83" s="201">
        <v>-5.0000000000000001E-3</v>
      </c>
      <c r="I83" s="195">
        <v>-5</v>
      </c>
      <c r="J83" s="203">
        <v>-5</v>
      </c>
    </row>
    <row r="84" spans="1:10" x14ac:dyDescent="0.3">
      <c r="A84" s="224">
        <v>4</v>
      </c>
      <c r="B84" s="194" t="s">
        <v>52</v>
      </c>
      <c r="C84" s="200">
        <v>1000</v>
      </c>
      <c r="D84" s="201">
        <v>5.0000000000000001E-3</v>
      </c>
      <c r="E84" s="202">
        <v>0.02</v>
      </c>
      <c r="F84" s="201">
        <v>0.02</v>
      </c>
      <c r="G84" s="200">
        <v>20</v>
      </c>
      <c r="H84" s="201">
        <v>0</v>
      </c>
      <c r="I84" s="195">
        <v>0</v>
      </c>
      <c r="J84" s="203">
        <v>20</v>
      </c>
    </row>
    <row r="85" spans="1:10" x14ac:dyDescent="0.3">
      <c r="A85" s="224">
        <v>5</v>
      </c>
      <c r="B85" s="194" t="s">
        <v>12</v>
      </c>
      <c r="C85" s="200">
        <v>1000</v>
      </c>
      <c r="D85" s="201">
        <v>5.0000000000000001E-3</v>
      </c>
      <c r="E85" s="212">
        <v>0.05</v>
      </c>
      <c r="F85" s="201">
        <v>0.05</v>
      </c>
      <c r="G85" s="200">
        <v>50</v>
      </c>
      <c r="H85" s="201">
        <v>0</v>
      </c>
      <c r="I85" s="195">
        <v>0</v>
      </c>
      <c r="J85" s="203">
        <v>50</v>
      </c>
    </row>
    <row r="86" spans="1:10" x14ac:dyDescent="0.3">
      <c r="A86" s="224">
        <v>6</v>
      </c>
      <c r="B86" s="194" t="s">
        <v>32</v>
      </c>
      <c r="C86" s="200">
        <v>1000</v>
      </c>
      <c r="D86" s="201">
        <v>5.0000000000000001E-3</v>
      </c>
      <c r="E86" s="212">
        <v>0.05</v>
      </c>
      <c r="F86" s="201">
        <v>0.05</v>
      </c>
      <c r="G86" s="200">
        <v>50</v>
      </c>
      <c r="H86" s="201">
        <v>0</v>
      </c>
      <c r="I86" s="195">
        <v>0</v>
      </c>
      <c r="J86" s="203">
        <v>50</v>
      </c>
    </row>
    <row r="87" spans="1:10" x14ac:dyDescent="0.3">
      <c r="A87" s="224">
        <v>7</v>
      </c>
      <c r="B87" s="194" t="s">
        <v>35</v>
      </c>
      <c r="C87" s="200">
        <v>1000</v>
      </c>
      <c r="D87" s="201">
        <v>5.0000000000000001E-3</v>
      </c>
      <c r="E87" s="202">
        <v>0.02</v>
      </c>
      <c r="F87" s="201">
        <v>0.02</v>
      </c>
      <c r="G87" s="200">
        <v>20</v>
      </c>
      <c r="H87" s="201">
        <v>0</v>
      </c>
      <c r="I87" s="195">
        <v>0</v>
      </c>
      <c r="J87" s="203">
        <v>20</v>
      </c>
    </row>
    <row r="88" spans="1:10" x14ac:dyDescent="0.3">
      <c r="A88" s="224">
        <v>8</v>
      </c>
      <c r="B88" s="194" t="s">
        <v>187</v>
      </c>
      <c r="C88" s="200">
        <v>1000</v>
      </c>
      <c r="D88" s="201">
        <v>5.0000000000000001E-3</v>
      </c>
      <c r="E88" s="212">
        <v>0.05</v>
      </c>
      <c r="F88" s="201">
        <v>0.05</v>
      </c>
      <c r="G88" s="200">
        <v>50</v>
      </c>
      <c r="H88" s="201">
        <v>0</v>
      </c>
      <c r="I88" s="195">
        <v>0</v>
      </c>
      <c r="J88" s="203">
        <v>50</v>
      </c>
    </row>
    <row r="89" spans="1:10" x14ac:dyDescent="0.3">
      <c r="A89" s="224">
        <v>9</v>
      </c>
      <c r="B89" s="194" t="s">
        <v>25</v>
      </c>
      <c r="C89" s="200">
        <v>1000</v>
      </c>
      <c r="D89" s="201">
        <v>5.0000000000000001E-3</v>
      </c>
      <c r="E89" s="212">
        <v>0.05</v>
      </c>
      <c r="F89" s="201">
        <v>0.05</v>
      </c>
      <c r="G89" s="200">
        <v>50</v>
      </c>
      <c r="H89" s="201">
        <v>0</v>
      </c>
      <c r="I89" s="195">
        <v>0</v>
      </c>
      <c r="J89" s="203">
        <v>50</v>
      </c>
    </row>
    <row r="90" spans="1:10" x14ac:dyDescent="0.3">
      <c r="A90" s="224">
        <v>10</v>
      </c>
      <c r="B90" s="194" t="s">
        <v>16</v>
      </c>
      <c r="C90" s="200">
        <v>1000</v>
      </c>
      <c r="D90" s="201">
        <v>5.0000000000000001E-3</v>
      </c>
      <c r="E90" s="202">
        <v>0.02</v>
      </c>
      <c r="F90" s="201">
        <v>0.02</v>
      </c>
      <c r="G90" s="200">
        <v>20</v>
      </c>
      <c r="H90" s="201">
        <v>0</v>
      </c>
      <c r="I90" s="195">
        <v>0</v>
      </c>
      <c r="J90" s="203">
        <v>20</v>
      </c>
    </row>
    <row r="91" spans="1:10" x14ac:dyDescent="0.3">
      <c r="A91" s="224">
        <v>11</v>
      </c>
      <c r="B91" s="194" t="s">
        <v>14</v>
      </c>
      <c r="C91" s="200">
        <v>1000</v>
      </c>
      <c r="D91" s="201">
        <v>5.0000000000000001E-3</v>
      </c>
      <c r="E91" s="212">
        <v>0.05</v>
      </c>
      <c r="F91" s="201">
        <v>0.05</v>
      </c>
      <c r="G91" s="200">
        <v>50</v>
      </c>
      <c r="H91" s="201">
        <v>0</v>
      </c>
      <c r="I91" s="195">
        <v>0</v>
      </c>
      <c r="J91" s="203">
        <v>50</v>
      </c>
    </row>
    <row r="92" spans="1:10" x14ac:dyDescent="0.3">
      <c r="A92" s="224">
        <v>12</v>
      </c>
      <c r="B92" s="194" t="s">
        <v>15</v>
      </c>
      <c r="C92" s="200">
        <v>1000</v>
      </c>
      <c r="D92" s="201">
        <v>5.0000000000000001E-3</v>
      </c>
      <c r="E92" s="212">
        <v>0.05</v>
      </c>
      <c r="F92" s="201">
        <v>0.05</v>
      </c>
      <c r="G92" s="200">
        <v>50</v>
      </c>
      <c r="H92" s="201">
        <v>0</v>
      </c>
      <c r="I92" s="195">
        <v>0</v>
      </c>
      <c r="J92" s="203">
        <v>50</v>
      </c>
    </row>
    <row r="93" spans="1:10" x14ac:dyDescent="0.3">
      <c r="A93" s="224">
        <v>13</v>
      </c>
      <c r="B93" s="194" t="s">
        <v>188</v>
      </c>
      <c r="C93" s="200">
        <v>1000</v>
      </c>
      <c r="D93" s="201">
        <v>5.0000000000000001E-3</v>
      </c>
      <c r="E93" s="212">
        <v>0.05</v>
      </c>
      <c r="F93" s="201">
        <v>0.05</v>
      </c>
      <c r="G93" s="200">
        <v>50</v>
      </c>
      <c r="H93" s="201">
        <v>0</v>
      </c>
      <c r="I93" s="195">
        <v>0</v>
      </c>
      <c r="J93" s="203">
        <v>50</v>
      </c>
    </row>
    <row r="94" spans="1:10" x14ac:dyDescent="0.3">
      <c r="A94" s="224">
        <v>14</v>
      </c>
      <c r="B94" s="194" t="s">
        <v>186</v>
      </c>
      <c r="C94" s="200">
        <v>1000</v>
      </c>
      <c r="D94" s="201">
        <v>5.0000000000000001E-3</v>
      </c>
      <c r="E94" s="212">
        <v>0.05</v>
      </c>
      <c r="F94" s="201">
        <v>0.05</v>
      </c>
      <c r="G94" s="200">
        <v>50</v>
      </c>
      <c r="H94" s="201">
        <v>0</v>
      </c>
      <c r="I94" s="195">
        <v>0</v>
      </c>
      <c r="J94" s="203">
        <v>50</v>
      </c>
    </row>
    <row r="95" spans="1:10" x14ac:dyDescent="0.3">
      <c r="A95" s="224">
        <v>15</v>
      </c>
      <c r="B95" s="194" t="s">
        <v>69</v>
      </c>
      <c r="C95" s="200">
        <v>1000</v>
      </c>
      <c r="D95" s="201">
        <v>5.0000000000000001E-3</v>
      </c>
      <c r="E95" s="212">
        <v>0.05</v>
      </c>
      <c r="F95" s="201">
        <v>0.05</v>
      </c>
      <c r="G95" s="200">
        <v>50</v>
      </c>
      <c r="H95" s="201">
        <v>0</v>
      </c>
      <c r="I95" s="195">
        <v>0</v>
      </c>
      <c r="J95" s="203">
        <v>50</v>
      </c>
    </row>
    <row r="96" spans="1:10" x14ac:dyDescent="0.3">
      <c r="A96" s="224">
        <v>16</v>
      </c>
      <c r="B96" s="194" t="s">
        <v>19</v>
      </c>
      <c r="C96" s="200">
        <v>1000</v>
      </c>
      <c r="D96" s="201">
        <v>5.0000000000000001E-3</v>
      </c>
      <c r="E96" s="212">
        <v>0.05</v>
      </c>
      <c r="F96" s="201">
        <v>0</v>
      </c>
      <c r="G96" s="200">
        <v>0</v>
      </c>
      <c r="H96" s="201">
        <v>-5.0000000000000001E-3</v>
      </c>
      <c r="I96" s="215">
        <v>-5</v>
      </c>
      <c r="J96" s="203">
        <v>-5</v>
      </c>
    </row>
    <row r="97" spans="1:10" x14ac:dyDescent="0.3">
      <c r="A97" s="224" t="s">
        <v>184</v>
      </c>
      <c r="B97" s="194"/>
      <c r="C97" s="200">
        <f>SUM(C81:C96)</f>
        <v>16000</v>
      </c>
      <c r="D97" s="201"/>
      <c r="E97" s="202"/>
      <c r="F97" s="201">
        <f>SUM(F81:F96)</f>
        <v>0.53</v>
      </c>
      <c r="G97" s="200">
        <f>SUM(G81:G96)</f>
        <v>530</v>
      </c>
      <c r="H97" s="201">
        <f>SUM(H81:H96)</f>
        <v>-1.4999999999999999E-2</v>
      </c>
      <c r="I97" s="203">
        <f>SUM(I81:I96)</f>
        <v>-15</v>
      </c>
      <c r="J97" s="203">
        <f>SUM(J81:J96)</f>
        <v>515</v>
      </c>
    </row>
    <row r="98" spans="1:10" x14ac:dyDescent="0.3">
      <c r="A98" s="223" t="s">
        <v>190</v>
      </c>
      <c r="C98" s="188">
        <f>AVERAGE(C81:C96)</f>
        <v>1000</v>
      </c>
      <c r="D98" s="205">
        <f t="shared" ref="D98:J98" si="5">AVERAGE(D81:D96)</f>
        <v>5.0000000000000001E-3</v>
      </c>
      <c r="E98" s="205">
        <f t="shared" si="5"/>
        <v>3.8750000000000007E-2</v>
      </c>
      <c r="F98" s="205">
        <f>AVERAGE(F81:F96)</f>
        <v>3.3125000000000002E-2</v>
      </c>
      <c r="G98" s="204">
        <f t="shared" si="5"/>
        <v>33.125</v>
      </c>
      <c r="H98" s="206">
        <f>AVERAGE(H81:H96)</f>
        <v>-9.3749999999999997E-4</v>
      </c>
      <c r="I98" s="207">
        <f>AVERAGE(I81:I96)</f>
        <v>-0.9375</v>
      </c>
      <c r="J98" s="188">
        <f t="shared" si="5"/>
        <v>32.1875</v>
      </c>
    </row>
    <row r="99" spans="1:10" x14ac:dyDescent="0.3">
      <c r="C99" s="188"/>
      <c r="D99" s="205"/>
      <c r="E99" s="205"/>
      <c r="F99" s="205"/>
      <c r="G99" s="188"/>
      <c r="H99" s="206"/>
      <c r="I99" s="199"/>
      <c r="J99" s="188"/>
    </row>
    <row r="100" spans="1:10" x14ac:dyDescent="0.3">
      <c r="C100" s="188"/>
      <c r="D100" s="205"/>
      <c r="E100" s="205"/>
      <c r="F100" s="205"/>
      <c r="G100" s="188"/>
      <c r="H100" s="206"/>
      <c r="I100" s="199"/>
      <c r="J100" s="188"/>
    </row>
    <row r="101" spans="1:10" x14ac:dyDescent="0.3">
      <c r="A101" s="284" t="s">
        <v>42</v>
      </c>
      <c r="B101" s="284"/>
      <c r="C101" s="284"/>
      <c r="D101" s="284"/>
      <c r="E101" s="284"/>
      <c r="F101" s="284"/>
      <c r="G101" s="284"/>
      <c r="H101" s="284"/>
      <c r="I101" s="284"/>
      <c r="J101" s="284"/>
    </row>
    <row r="102" spans="1:10" x14ac:dyDescent="0.3">
      <c r="A102" s="224" t="s">
        <v>182</v>
      </c>
      <c r="B102" s="194" t="s">
        <v>1</v>
      </c>
      <c r="C102" s="193" t="s">
        <v>131</v>
      </c>
      <c r="D102" s="193" t="s">
        <v>6</v>
      </c>
      <c r="E102" s="193" t="s">
        <v>5</v>
      </c>
      <c r="F102" s="193" t="s">
        <v>3</v>
      </c>
      <c r="G102" s="193" t="s">
        <v>2</v>
      </c>
      <c r="H102" s="193" t="s">
        <v>4</v>
      </c>
      <c r="I102" s="195" t="s">
        <v>185</v>
      </c>
      <c r="J102" s="193" t="s">
        <v>7</v>
      </c>
    </row>
    <row r="103" spans="1:10" x14ac:dyDescent="0.3">
      <c r="A103" s="224">
        <v>1</v>
      </c>
      <c r="B103" s="194" t="s">
        <v>16</v>
      </c>
      <c r="C103" s="200">
        <v>1000</v>
      </c>
      <c r="D103" s="201">
        <v>5.0000000000000001E-3</v>
      </c>
      <c r="E103" s="212">
        <v>0.05</v>
      </c>
      <c r="F103" s="201">
        <v>0.05</v>
      </c>
      <c r="G103" s="200">
        <v>50</v>
      </c>
      <c r="H103" s="201">
        <v>0</v>
      </c>
      <c r="I103" s="195">
        <v>0</v>
      </c>
      <c r="J103" s="203">
        <v>50</v>
      </c>
    </row>
    <row r="104" spans="1:10" x14ac:dyDescent="0.3">
      <c r="A104" s="224">
        <v>2</v>
      </c>
      <c r="B104" s="194" t="s">
        <v>32</v>
      </c>
      <c r="C104" s="200">
        <v>1000</v>
      </c>
      <c r="D104" s="201">
        <v>5.0000000000000001E-3</v>
      </c>
      <c r="E104" s="212">
        <v>0.05</v>
      </c>
      <c r="F104" s="201">
        <v>0.05</v>
      </c>
      <c r="G104" s="200">
        <v>50</v>
      </c>
      <c r="H104" s="201">
        <v>0</v>
      </c>
      <c r="I104" s="195">
        <v>0</v>
      </c>
      <c r="J104" s="203">
        <v>50</v>
      </c>
    </row>
    <row r="105" spans="1:10" x14ac:dyDescent="0.3">
      <c r="A105" s="224">
        <v>3</v>
      </c>
      <c r="B105" s="194" t="s">
        <v>69</v>
      </c>
      <c r="C105" s="200">
        <v>1000</v>
      </c>
      <c r="D105" s="201">
        <v>5.0000000000000001E-3</v>
      </c>
      <c r="E105" s="212">
        <v>0.05</v>
      </c>
      <c r="F105" s="201">
        <v>0.05</v>
      </c>
      <c r="G105" s="200">
        <v>50</v>
      </c>
      <c r="H105" s="201">
        <v>0</v>
      </c>
      <c r="I105" s="195">
        <v>0</v>
      </c>
      <c r="J105" s="203">
        <v>50</v>
      </c>
    </row>
    <row r="106" spans="1:10" x14ac:dyDescent="0.3">
      <c r="A106" s="224">
        <v>4</v>
      </c>
      <c r="B106" s="194" t="s">
        <v>16</v>
      </c>
      <c r="C106" s="200">
        <v>1000</v>
      </c>
      <c r="D106" s="201">
        <v>5.0000000000000001E-3</v>
      </c>
      <c r="E106" s="212">
        <v>0.05</v>
      </c>
      <c r="F106" s="201">
        <v>0.05</v>
      </c>
      <c r="G106" s="200">
        <v>50</v>
      </c>
      <c r="H106" s="201">
        <v>0</v>
      </c>
      <c r="I106" s="195">
        <v>0</v>
      </c>
      <c r="J106" s="203">
        <v>50</v>
      </c>
    </row>
    <row r="107" spans="1:10" x14ac:dyDescent="0.3">
      <c r="A107" s="224">
        <v>5</v>
      </c>
      <c r="B107" s="194" t="s">
        <v>32</v>
      </c>
      <c r="C107" s="200">
        <v>1000</v>
      </c>
      <c r="D107" s="201">
        <v>5.0000000000000001E-3</v>
      </c>
      <c r="E107" s="212">
        <v>0.05</v>
      </c>
      <c r="F107" s="201">
        <v>0.05</v>
      </c>
      <c r="G107" s="200">
        <v>50</v>
      </c>
      <c r="H107" s="201">
        <v>0</v>
      </c>
      <c r="I107" s="195">
        <v>0</v>
      </c>
      <c r="J107" s="203">
        <v>50</v>
      </c>
    </row>
    <row r="108" spans="1:10" x14ac:dyDescent="0.3">
      <c r="A108" s="224">
        <v>6</v>
      </c>
      <c r="B108" s="194" t="s">
        <v>69</v>
      </c>
      <c r="C108" s="200">
        <v>1000</v>
      </c>
      <c r="D108" s="201">
        <v>5.0000000000000001E-3</v>
      </c>
      <c r="E108" s="212">
        <v>0.05</v>
      </c>
      <c r="F108" s="201">
        <v>0.05</v>
      </c>
      <c r="G108" s="200">
        <v>50</v>
      </c>
      <c r="H108" s="201">
        <v>0</v>
      </c>
      <c r="I108" s="195">
        <v>0</v>
      </c>
      <c r="J108" s="203">
        <v>50</v>
      </c>
    </row>
    <row r="109" spans="1:10" x14ac:dyDescent="0.3">
      <c r="A109" s="224">
        <v>7</v>
      </c>
      <c r="B109" s="194" t="s">
        <v>16</v>
      </c>
      <c r="C109" s="200">
        <v>1000</v>
      </c>
      <c r="D109" s="201">
        <v>5.0000000000000001E-3</v>
      </c>
      <c r="E109" s="212">
        <v>0.05</v>
      </c>
      <c r="F109" s="201">
        <v>0.05</v>
      </c>
      <c r="G109" s="200">
        <v>50</v>
      </c>
      <c r="H109" s="201">
        <v>0</v>
      </c>
      <c r="I109" s="195">
        <v>0</v>
      </c>
      <c r="J109" s="203">
        <v>50</v>
      </c>
    </row>
    <row r="110" spans="1:10" x14ac:dyDescent="0.3">
      <c r="A110" s="224">
        <v>8</v>
      </c>
      <c r="B110" s="194" t="s">
        <v>32</v>
      </c>
      <c r="C110" s="200">
        <v>1000</v>
      </c>
      <c r="D110" s="201">
        <v>5.0000000000000001E-3</v>
      </c>
      <c r="E110" s="212">
        <v>0.05</v>
      </c>
      <c r="F110" s="201">
        <v>0.05</v>
      </c>
      <c r="G110" s="200">
        <v>50</v>
      </c>
      <c r="H110" s="201">
        <v>0</v>
      </c>
      <c r="I110" s="195">
        <v>0</v>
      </c>
      <c r="J110" s="203">
        <v>50</v>
      </c>
    </row>
    <row r="111" spans="1:10" x14ac:dyDescent="0.3">
      <c r="A111" s="224">
        <v>9</v>
      </c>
      <c r="B111" s="194" t="s">
        <v>69</v>
      </c>
      <c r="C111" s="200">
        <v>1000</v>
      </c>
      <c r="D111" s="201">
        <v>5.0000000000000001E-3</v>
      </c>
      <c r="E111" s="212">
        <v>0.05</v>
      </c>
      <c r="F111" s="201">
        <v>0.05</v>
      </c>
      <c r="G111" s="200">
        <v>50</v>
      </c>
      <c r="H111" s="201">
        <v>0</v>
      </c>
      <c r="I111" s="195">
        <v>0</v>
      </c>
      <c r="J111" s="203">
        <v>50</v>
      </c>
    </row>
    <row r="112" spans="1:10" x14ac:dyDescent="0.3">
      <c r="C112" s="188">
        <f>SUM(C103:C111)</f>
        <v>9000</v>
      </c>
      <c r="F112" s="191">
        <f>SUM(F103:F111)</f>
        <v>0.44999999999999996</v>
      </c>
      <c r="G112" s="204">
        <f>SUM(G103:G111)</f>
        <v>450</v>
      </c>
      <c r="H112" s="191">
        <f>SUM(H103:H111)</f>
        <v>0</v>
      </c>
      <c r="I112" s="199">
        <f>SUM(I103:I111)</f>
        <v>0</v>
      </c>
      <c r="J112" s="196">
        <f>SUM(J103:J111)</f>
        <v>450</v>
      </c>
    </row>
  </sheetData>
  <mergeCells count="5">
    <mergeCell ref="A62:J62"/>
    <mergeCell ref="A79:J79"/>
    <mergeCell ref="A101:J101"/>
    <mergeCell ref="A20:J20"/>
    <mergeCell ref="A46:L46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8"/>
  <sheetViews>
    <sheetView workbookViewId="0">
      <pane xSplit="1" topLeftCell="B1" activePane="topRight" state="frozen"/>
      <selection pane="topRight" activeCell="C10" sqref="C10"/>
    </sheetView>
  </sheetViews>
  <sheetFormatPr baseColWidth="10" defaultRowHeight="26" x14ac:dyDescent="0.3"/>
  <cols>
    <col min="1" max="1" width="47.33203125" style="223" bestFit="1" customWidth="1"/>
    <col min="2" max="2" width="49.5" style="185" bestFit="1" customWidth="1"/>
    <col min="3" max="3" width="49.33203125" style="185" bestFit="1" customWidth="1"/>
    <col min="4" max="4" width="55.1640625" style="185" bestFit="1" customWidth="1"/>
    <col min="5" max="5" width="51" style="185" bestFit="1" customWidth="1"/>
    <col min="6" max="6" width="45.83203125" style="185" bestFit="1" customWidth="1"/>
    <col min="7" max="7" width="27.1640625" style="185" bestFit="1" customWidth="1"/>
    <col min="8" max="8" width="22.1640625" style="185" bestFit="1" customWidth="1"/>
    <col min="9" max="9" width="28.83203125" style="185" bestFit="1" customWidth="1"/>
    <col min="10" max="10" width="16.83203125" style="185" bestFit="1" customWidth="1"/>
    <col min="11" max="11" width="14.6640625" style="185" bestFit="1" customWidth="1"/>
    <col min="12" max="12" width="19.6640625" style="185" bestFit="1" customWidth="1"/>
    <col min="13" max="16384" width="10.83203125" style="185"/>
  </cols>
  <sheetData>
    <row r="1" spans="1:17" s="227" customFormat="1" ht="31" x14ac:dyDescent="0.35">
      <c r="A1" s="225" t="s">
        <v>110</v>
      </c>
      <c r="B1" s="255">
        <v>46272</v>
      </c>
      <c r="C1" s="255">
        <v>46273</v>
      </c>
      <c r="D1" s="255">
        <v>46274</v>
      </c>
      <c r="E1" s="255">
        <v>46275</v>
      </c>
      <c r="F1" s="255">
        <v>46276</v>
      </c>
      <c r="G1" s="226" t="s">
        <v>27</v>
      </c>
    </row>
    <row r="2" spans="1:17" x14ac:dyDescent="0.3">
      <c r="A2" s="221" t="s">
        <v>192</v>
      </c>
      <c r="B2" s="261">
        <f>18363+B15</f>
        <v>18398</v>
      </c>
      <c r="C2" s="262">
        <f>B2+C15</f>
        <v>18513</v>
      </c>
      <c r="D2" s="262">
        <f t="shared" ref="D2:E2" si="0">C2+D15</f>
        <v>18538</v>
      </c>
      <c r="E2" s="262">
        <f t="shared" si="0"/>
        <v>18518</v>
      </c>
      <c r="F2" s="262">
        <f>E2+F15</f>
        <v>18583</v>
      </c>
      <c r="G2" s="262">
        <f>F2</f>
        <v>18583</v>
      </c>
    </row>
    <row r="3" spans="1:17" x14ac:dyDescent="0.3">
      <c r="A3" s="218" t="s">
        <v>193</v>
      </c>
      <c r="B3" s="247">
        <v>15000</v>
      </c>
      <c r="C3" s="247">
        <v>15000</v>
      </c>
      <c r="D3" s="247">
        <v>15000</v>
      </c>
      <c r="E3" s="247">
        <v>15000</v>
      </c>
      <c r="F3" s="247">
        <v>15000</v>
      </c>
      <c r="G3" s="247">
        <f>SUM(B3:F3)</f>
        <v>75000</v>
      </c>
    </row>
    <row r="4" spans="1:17" x14ac:dyDescent="0.3">
      <c r="A4" s="249" t="s">
        <v>191</v>
      </c>
      <c r="B4" s="248">
        <v>1000</v>
      </c>
      <c r="C4" s="248">
        <v>1000</v>
      </c>
      <c r="D4" s="248">
        <v>1000</v>
      </c>
      <c r="E4" s="248">
        <v>1000</v>
      </c>
      <c r="F4" s="248">
        <v>1000</v>
      </c>
      <c r="G4" s="248">
        <f>AVERAGE(B4:F4)</f>
        <v>1000</v>
      </c>
    </row>
    <row r="5" spans="1:17" x14ac:dyDescent="0.3">
      <c r="A5" s="219" t="s">
        <v>203</v>
      </c>
      <c r="B5" s="250">
        <f>B4*B6</f>
        <v>15000</v>
      </c>
      <c r="C5" s="250">
        <f>C4*C6</f>
        <v>12000</v>
      </c>
      <c r="D5" s="250">
        <f t="shared" ref="D5:E5" si="1">D4*D6</f>
        <v>6000</v>
      </c>
      <c r="E5" s="250">
        <f t="shared" si="1"/>
        <v>4000</v>
      </c>
      <c r="F5" s="250">
        <f>F4*F6</f>
        <v>8000</v>
      </c>
      <c r="G5" s="250">
        <f t="shared" ref="G5:G12" si="2">SUM(B5:F5)</f>
        <v>45000</v>
      </c>
    </row>
    <row r="6" spans="1:17" x14ac:dyDescent="0.3">
      <c r="A6" s="228" t="s">
        <v>194</v>
      </c>
      <c r="B6" s="229">
        <v>15</v>
      </c>
      <c r="C6" s="229">
        <v>12</v>
      </c>
      <c r="D6" s="230">
        <v>6</v>
      </c>
      <c r="E6" s="229">
        <v>4</v>
      </c>
      <c r="F6" s="229">
        <v>8</v>
      </c>
      <c r="G6" s="231">
        <f t="shared" si="2"/>
        <v>45</v>
      </c>
    </row>
    <row r="7" spans="1:17" x14ac:dyDescent="0.3">
      <c r="A7" s="228" t="s">
        <v>117</v>
      </c>
      <c r="B7" s="229">
        <v>2</v>
      </c>
      <c r="C7" s="229">
        <v>5</v>
      </c>
      <c r="D7" s="230">
        <v>1</v>
      </c>
      <c r="E7" s="229">
        <v>0</v>
      </c>
      <c r="F7" s="229">
        <v>3</v>
      </c>
      <c r="G7" s="231">
        <f t="shared" si="2"/>
        <v>11</v>
      </c>
    </row>
    <row r="8" spans="1:17" x14ac:dyDescent="0.3">
      <c r="A8" s="228" t="s">
        <v>118</v>
      </c>
      <c r="B8" s="229">
        <v>13</v>
      </c>
      <c r="C8" s="229">
        <v>7</v>
      </c>
      <c r="D8" s="230">
        <v>5</v>
      </c>
      <c r="E8" s="229">
        <v>4</v>
      </c>
      <c r="F8" s="229">
        <v>5</v>
      </c>
      <c r="G8" s="231">
        <f t="shared" si="2"/>
        <v>34</v>
      </c>
    </row>
    <row r="9" spans="1:17" x14ac:dyDescent="0.3">
      <c r="A9" s="220" t="s">
        <v>195</v>
      </c>
      <c r="B9" s="232">
        <f>B12*B3</f>
        <v>750</v>
      </c>
      <c r="C9" s="232">
        <f>C12*C3</f>
        <v>750</v>
      </c>
      <c r="D9" s="232">
        <f>D12*D3</f>
        <v>750</v>
      </c>
      <c r="E9" s="232">
        <f>E12*E3</f>
        <v>750</v>
      </c>
      <c r="F9" s="232">
        <f>F12*F3</f>
        <v>750</v>
      </c>
      <c r="G9" s="233">
        <f t="shared" si="2"/>
        <v>3750</v>
      </c>
    </row>
    <row r="10" spans="1:17" x14ac:dyDescent="0.3">
      <c r="A10" s="239" t="s">
        <v>199</v>
      </c>
      <c r="B10" s="241">
        <v>100</v>
      </c>
      <c r="C10" s="241">
        <v>150</v>
      </c>
      <c r="D10" s="237">
        <v>50</v>
      </c>
      <c r="E10" s="241">
        <v>0</v>
      </c>
      <c r="F10" s="241">
        <v>90</v>
      </c>
      <c r="G10" s="238">
        <f t="shared" si="2"/>
        <v>390</v>
      </c>
    </row>
    <row r="11" spans="1:17" x14ac:dyDescent="0.3">
      <c r="A11" s="228" t="s">
        <v>200</v>
      </c>
      <c r="B11" s="242">
        <v>-65</v>
      </c>
      <c r="C11" s="242">
        <v>-35</v>
      </c>
      <c r="D11" s="243">
        <v>-25</v>
      </c>
      <c r="E11" s="242">
        <v>-20</v>
      </c>
      <c r="F11" s="242">
        <v>-25</v>
      </c>
      <c r="G11" s="244">
        <f t="shared" si="2"/>
        <v>-170</v>
      </c>
    </row>
    <row r="12" spans="1:17" x14ac:dyDescent="0.3">
      <c r="A12" s="220" t="s">
        <v>196</v>
      </c>
      <c r="B12" s="234">
        <v>0.05</v>
      </c>
      <c r="C12" s="234">
        <v>0.05</v>
      </c>
      <c r="D12" s="234">
        <v>0.05</v>
      </c>
      <c r="E12" s="234">
        <v>0.05</v>
      </c>
      <c r="F12" s="234">
        <v>0.05</v>
      </c>
      <c r="G12" s="235">
        <f t="shared" si="2"/>
        <v>0.25</v>
      </c>
    </row>
    <row r="13" spans="1:17" x14ac:dyDescent="0.3">
      <c r="A13" s="239" t="s">
        <v>201</v>
      </c>
      <c r="B13" s="245">
        <f>B10/B3</f>
        <v>6.6666666666666671E-3</v>
      </c>
      <c r="C13" s="245">
        <f>C10/C3</f>
        <v>0.01</v>
      </c>
      <c r="D13" s="245">
        <f>D10/D3</f>
        <v>3.3333333333333335E-3</v>
      </c>
      <c r="E13" s="245">
        <f>E10/E3</f>
        <v>0</v>
      </c>
      <c r="F13" s="245">
        <f>F10/F3</f>
        <v>6.0000000000000001E-3</v>
      </c>
      <c r="G13" s="246">
        <f>AVERAGE(B13:F13)</f>
        <v>5.2000000000000006E-3</v>
      </c>
    </row>
    <row r="14" spans="1:17" s="272" customFormat="1" x14ac:dyDescent="0.3">
      <c r="A14" s="269" t="s">
        <v>202</v>
      </c>
      <c r="B14" s="270">
        <f>B11/B5</f>
        <v>-4.3333333333333331E-3</v>
      </c>
      <c r="C14" s="270">
        <f>C11/C5</f>
        <v>-2.9166666666666668E-3</v>
      </c>
      <c r="D14" s="270">
        <f>D11/D5</f>
        <v>-4.1666666666666666E-3</v>
      </c>
      <c r="E14" s="270">
        <f>E11/E5</f>
        <v>-5.0000000000000001E-3</v>
      </c>
      <c r="F14" s="270">
        <f t="shared" ref="F14" si="3">F11/F5</f>
        <v>-3.1250000000000002E-3</v>
      </c>
      <c r="G14" s="271">
        <f>SUM(B14:F14)</f>
        <v>-1.9541666666666666E-2</v>
      </c>
    </row>
    <row r="15" spans="1:17" x14ac:dyDescent="0.3">
      <c r="A15" s="273" t="s">
        <v>197</v>
      </c>
      <c r="B15" s="274">
        <f>B10+B11</f>
        <v>35</v>
      </c>
      <c r="C15" s="274">
        <f t="shared" ref="C15:F15" si="4">C10+C11</f>
        <v>115</v>
      </c>
      <c r="D15" s="274">
        <f t="shared" si="4"/>
        <v>25</v>
      </c>
      <c r="E15" s="274">
        <f t="shared" si="4"/>
        <v>-20</v>
      </c>
      <c r="F15" s="274">
        <f t="shared" si="4"/>
        <v>65</v>
      </c>
      <c r="G15" s="275">
        <f>SUM(B15:F15)</f>
        <v>220</v>
      </c>
    </row>
    <row r="16" spans="1:17" x14ac:dyDescent="0.3">
      <c r="A16" s="276" t="s">
        <v>198</v>
      </c>
      <c r="B16" s="277">
        <f>B15/B5</f>
        <v>2.3333333333333335E-3</v>
      </c>
      <c r="C16" s="277">
        <f>C15/C5</f>
        <v>9.5833333333333326E-3</v>
      </c>
      <c r="D16" s="277">
        <f t="shared" ref="D16:F16" si="5">D15/D5</f>
        <v>4.1666666666666666E-3</v>
      </c>
      <c r="E16" s="277">
        <f t="shared" si="5"/>
        <v>-5.0000000000000001E-3</v>
      </c>
      <c r="F16" s="277">
        <f t="shared" si="5"/>
        <v>8.1250000000000003E-3</v>
      </c>
      <c r="G16" s="278">
        <f>SUM(B16:F16)</f>
        <v>1.9208333333333331E-2</v>
      </c>
      <c r="K16" s="188"/>
      <c r="L16" s="188"/>
      <c r="M16" s="188"/>
      <c r="N16" s="188"/>
      <c r="O16" s="188"/>
      <c r="P16" s="188"/>
      <c r="Q16" s="188"/>
    </row>
    <row r="17" spans="1:17" x14ac:dyDescent="0.3">
      <c r="A17" s="239" t="s">
        <v>204</v>
      </c>
      <c r="B17" s="253">
        <f>(B15/B9)</f>
        <v>4.6666666666666669E-2</v>
      </c>
      <c r="C17" s="253">
        <f>(C15/C9)</f>
        <v>0.15333333333333332</v>
      </c>
      <c r="D17" s="253">
        <f>(D15/D9)</f>
        <v>3.3333333333333333E-2</v>
      </c>
      <c r="E17" s="253">
        <f>(E15/E9)</f>
        <v>-2.6666666666666668E-2</v>
      </c>
      <c r="F17" s="253">
        <f>(F15/F9)</f>
        <v>8.666666666666667E-2</v>
      </c>
      <c r="G17" s="240">
        <f>AVERAGE(B17:F17)</f>
        <v>5.8666666666666666E-2</v>
      </c>
      <c r="K17" s="188"/>
      <c r="L17" s="188"/>
      <c r="M17" s="188"/>
      <c r="N17" s="188"/>
      <c r="O17" s="188"/>
      <c r="P17" s="188"/>
      <c r="Q17" s="188"/>
    </row>
    <row r="18" spans="1:17" x14ac:dyDescent="0.3">
      <c r="A18" s="222"/>
      <c r="B18" s="216"/>
      <c r="C18" s="216"/>
      <c r="D18" s="216"/>
      <c r="E18" s="216"/>
      <c r="F18" s="216"/>
      <c r="G18" s="217"/>
    </row>
    <row r="19" spans="1:17" x14ac:dyDescent="0.3">
      <c r="A19" s="222"/>
      <c r="B19" s="216"/>
      <c r="C19" s="216"/>
      <c r="D19" s="216"/>
      <c r="E19" s="216"/>
      <c r="F19" s="216"/>
      <c r="G19" s="217"/>
    </row>
    <row r="20" spans="1:17" x14ac:dyDescent="0.3">
      <c r="A20" s="284" t="s">
        <v>8</v>
      </c>
      <c r="B20" s="284"/>
      <c r="C20" s="284"/>
      <c r="D20" s="284"/>
      <c r="E20" s="284"/>
      <c r="F20" s="284"/>
      <c r="G20" s="284"/>
      <c r="H20" s="284"/>
      <c r="I20" s="284"/>
      <c r="J20" s="284"/>
      <c r="K20" s="210"/>
      <c r="L20" s="210"/>
    </row>
    <row r="21" spans="1:17" x14ac:dyDescent="0.3">
      <c r="A21" s="223" t="s">
        <v>182</v>
      </c>
      <c r="B21" s="259" t="s">
        <v>1</v>
      </c>
      <c r="C21" s="185" t="s">
        <v>209</v>
      </c>
      <c r="D21" s="185" t="s">
        <v>210</v>
      </c>
      <c r="E21" s="185" t="s">
        <v>211</v>
      </c>
      <c r="F21" s="185" t="s">
        <v>212</v>
      </c>
      <c r="G21" s="185" t="s">
        <v>2</v>
      </c>
      <c r="H21" s="185" t="s">
        <v>213</v>
      </c>
      <c r="I21" s="190" t="s">
        <v>9</v>
      </c>
      <c r="J21" s="185" t="s">
        <v>7</v>
      </c>
    </row>
    <row r="22" spans="1:17" x14ac:dyDescent="0.3">
      <c r="A22" s="223">
        <v>1</v>
      </c>
      <c r="B22" s="259" t="s">
        <v>214</v>
      </c>
      <c r="C22" s="188">
        <v>1000</v>
      </c>
      <c r="D22" s="191">
        <v>5.0000000000000001E-3</v>
      </c>
      <c r="E22" s="197">
        <v>0.03</v>
      </c>
      <c r="F22" s="191">
        <v>0</v>
      </c>
      <c r="G22" s="188">
        <v>0</v>
      </c>
      <c r="H22" s="191">
        <v>5.0000000000000001E-3</v>
      </c>
      <c r="I22" s="264">
        <v>-5</v>
      </c>
      <c r="J22" s="265">
        <v>-5</v>
      </c>
    </row>
    <row r="23" spans="1:17" x14ac:dyDescent="0.3">
      <c r="A23" s="223">
        <v>2</v>
      </c>
      <c r="B23" s="259" t="s">
        <v>215</v>
      </c>
      <c r="C23" s="188">
        <v>1000</v>
      </c>
      <c r="D23" s="191">
        <v>5.0000000000000001E-3</v>
      </c>
      <c r="E23" s="197">
        <v>0.05</v>
      </c>
      <c r="F23" s="191">
        <v>0</v>
      </c>
      <c r="G23" s="188">
        <v>0</v>
      </c>
      <c r="H23" s="191">
        <v>5.0000000000000001E-3</v>
      </c>
      <c r="I23" s="264">
        <v>-5</v>
      </c>
      <c r="J23" s="265">
        <v>-5</v>
      </c>
    </row>
    <row r="24" spans="1:17" x14ac:dyDescent="0.3">
      <c r="A24" s="223">
        <v>3</v>
      </c>
      <c r="B24" s="259" t="s">
        <v>216</v>
      </c>
      <c r="C24" s="188">
        <v>1000</v>
      </c>
      <c r="D24" s="191">
        <v>5.0000000000000001E-3</v>
      </c>
      <c r="E24" s="197">
        <v>0.05</v>
      </c>
      <c r="F24" s="191">
        <v>0.05</v>
      </c>
      <c r="G24" s="188">
        <v>50</v>
      </c>
      <c r="H24" s="191">
        <v>0</v>
      </c>
      <c r="I24" s="264">
        <v>0</v>
      </c>
      <c r="J24" s="265">
        <v>50</v>
      </c>
    </row>
    <row r="25" spans="1:17" x14ac:dyDescent="0.3">
      <c r="A25" s="223">
        <v>4</v>
      </c>
      <c r="B25" s="259" t="s">
        <v>217</v>
      </c>
      <c r="C25" s="188">
        <v>1000</v>
      </c>
      <c r="D25" s="191">
        <v>5.0000000000000001E-3</v>
      </c>
      <c r="E25" s="197">
        <v>0.03</v>
      </c>
      <c r="F25" s="191">
        <v>0</v>
      </c>
      <c r="G25" s="188">
        <v>0</v>
      </c>
      <c r="H25" s="191">
        <v>5.0000000000000001E-3</v>
      </c>
      <c r="I25" s="264">
        <v>-5</v>
      </c>
      <c r="J25" s="265">
        <v>-5</v>
      </c>
    </row>
    <row r="26" spans="1:17" x14ac:dyDescent="0.3">
      <c r="A26" s="223">
        <v>5</v>
      </c>
      <c r="B26" s="259" t="s">
        <v>218</v>
      </c>
      <c r="C26" s="188">
        <v>1000</v>
      </c>
      <c r="D26" s="191">
        <v>5.0000000000000001E-3</v>
      </c>
      <c r="E26" s="197">
        <v>0.03</v>
      </c>
      <c r="F26" s="191">
        <v>0</v>
      </c>
      <c r="G26" s="188">
        <v>0</v>
      </c>
      <c r="H26" s="191">
        <v>5.0000000000000001E-3</v>
      </c>
      <c r="I26" s="264">
        <v>-5</v>
      </c>
      <c r="J26" s="265">
        <v>-5</v>
      </c>
    </row>
    <row r="27" spans="1:17" x14ac:dyDescent="0.3">
      <c r="A27" s="223">
        <v>6</v>
      </c>
      <c r="B27" s="259" t="s">
        <v>219</v>
      </c>
      <c r="C27" s="188">
        <v>1000</v>
      </c>
      <c r="D27" s="191">
        <v>5.0000000000000001E-3</v>
      </c>
      <c r="E27" s="197">
        <v>0.03</v>
      </c>
      <c r="F27" s="191">
        <v>0</v>
      </c>
      <c r="G27" s="188">
        <v>0</v>
      </c>
      <c r="H27" s="191">
        <v>5.0000000000000001E-3</v>
      </c>
      <c r="I27" s="264">
        <v>-5</v>
      </c>
      <c r="J27" s="265">
        <v>-5</v>
      </c>
    </row>
    <row r="28" spans="1:17" x14ac:dyDescent="0.3">
      <c r="A28" s="223">
        <v>7</v>
      </c>
      <c r="B28" s="259" t="s">
        <v>220</v>
      </c>
      <c r="C28" s="188">
        <v>1000</v>
      </c>
      <c r="D28" s="191">
        <v>5.0000000000000001E-3</v>
      </c>
      <c r="E28" s="197">
        <v>0.03</v>
      </c>
      <c r="F28" s="191">
        <v>0</v>
      </c>
      <c r="G28" s="188">
        <v>0</v>
      </c>
      <c r="H28" s="191">
        <v>5.0000000000000001E-3</v>
      </c>
      <c r="I28" s="264">
        <v>-5</v>
      </c>
      <c r="J28" s="265">
        <v>-5</v>
      </c>
    </row>
    <row r="29" spans="1:17" x14ac:dyDescent="0.3">
      <c r="A29" s="223">
        <v>8</v>
      </c>
      <c r="B29" s="259" t="s">
        <v>221</v>
      </c>
      <c r="C29" s="188">
        <v>1000</v>
      </c>
      <c r="D29" s="191">
        <v>5.0000000000000001E-3</v>
      </c>
      <c r="E29" s="197">
        <v>0.05</v>
      </c>
      <c r="F29" s="191">
        <v>0.05</v>
      </c>
      <c r="G29" s="188">
        <v>50</v>
      </c>
      <c r="H29" s="191">
        <v>0</v>
      </c>
      <c r="I29" s="264">
        <v>0</v>
      </c>
      <c r="J29" s="265">
        <v>50</v>
      </c>
    </row>
    <row r="30" spans="1:17" x14ac:dyDescent="0.3">
      <c r="A30" s="223">
        <v>9</v>
      </c>
      <c r="B30" s="259" t="s">
        <v>222</v>
      </c>
      <c r="C30" s="188">
        <v>1000</v>
      </c>
      <c r="D30" s="191">
        <v>5.0000000000000001E-3</v>
      </c>
      <c r="E30" s="197">
        <v>0.05</v>
      </c>
      <c r="F30" s="191">
        <v>0</v>
      </c>
      <c r="G30" s="188">
        <v>0</v>
      </c>
      <c r="H30" s="191">
        <v>5.0000000000000001E-3</v>
      </c>
      <c r="I30" s="264">
        <v>-5</v>
      </c>
      <c r="J30" s="265">
        <v>-5</v>
      </c>
    </row>
    <row r="31" spans="1:17" x14ac:dyDescent="0.3">
      <c r="A31" s="223">
        <v>10</v>
      </c>
      <c r="B31" s="259" t="s">
        <v>223</v>
      </c>
      <c r="C31" s="188">
        <v>1000</v>
      </c>
      <c r="D31" s="191">
        <v>5.0000000000000001E-3</v>
      </c>
      <c r="E31" s="197">
        <v>0.05</v>
      </c>
      <c r="F31" s="191">
        <v>0</v>
      </c>
      <c r="G31" s="188">
        <v>0</v>
      </c>
      <c r="H31" s="191">
        <v>5.0000000000000001E-3</v>
      </c>
      <c r="I31" s="264">
        <v>-5</v>
      </c>
      <c r="J31" s="265">
        <v>-5</v>
      </c>
    </row>
    <row r="32" spans="1:17" x14ac:dyDescent="0.3">
      <c r="A32" s="223">
        <v>11</v>
      </c>
      <c r="B32" s="259" t="s">
        <v>224</v>
      </c>
      <c r="C32" s="188">
        <v>1000</v>
      </c>
      <c r="D32" s="191">
        <v>5.0000000000000001E-3</v>
      </c>
      <c r="E32" s="197">
        <v>0.05</v>
      </c>
      <c r="F32" s="191">
        <v>0</v>
      </c>
      <c r="G32" s="188">
        <v>0</v>
      </c>
      <c r="H32" s="191">
        <v>5.0000000000000001E-3</v>
      </c>
      <c r="I32" s="264">
        <v>-5</v>
      </c>
      <c r="J32" s="265">
        <v>-5</v>
      </c>
    </row>
    <row r="33" spans="1:12" x14ac:dyDescent="0.3">
      <c r="A33" s="223">
        <v>12</v>
      </c>
      <c r="B33" s="259" t="s">
        <v>225</v>
      </c>
      <c r="C33" s="188">
        <v>1000</v>
      </c>
      <c r="D33" s="191">
        <v>5.0000000000000001E-3</v>
      </c>
      <c r="E33" s="197">
        <v>0.05</v>
      </c>
      <c r="F33" s="191">
        <v>0</v>
      </c>
      <c r="G33" s="188">
        <v>0</v>
      </c>
      <c r="H33" s="191">
        <v>5.0000000000000001E-3</v>
      </c>
      <c r="I33" s="264">
        <v>-5</v>
      </c>
      <c r="J33" s="265">
        <v>-5</v>
      </c>
    </row>
    <row r="34" spans="1:12" x14ac:dyDescent="0.3">
      <c r="A34" s="223">
        <v>13</v>
      </c>
      <c r="B34" s="259" t="s">
        <v>226</v>
      </c>
      <c r="C34" s="188">
        <v>1000</v>
      </c>
      <c r="D34" s="191">
        <v>5.0000000000000001E-3</v>
      </c>
      <c r="E34" s="197">
        <v>0.05</v>
      </c>
      <c r="F34" s="191">
        <v>0</v>
      </c>
      <c r="G34" s="188">
        <v>0</v>
      </c>
      <c r="H34" s="191">
        <v>5.0000000000000001E-3</v>
      </c>
      <c r="I34" s="264">
        <v>-5</v>
      </c>
      <c r="J34" s="265">
        <v>-5</v>
      </c>
    </row>
    <row r="35" spans="1:12" x14ac:dyDescent="0.3">
      <c r="A35" s="223">
        <v>14</v>
      </c>
      <c r="B35" s="259" t="s">
        <v>227</v>
      </c>
      <c r="C35" s="188">
        <v>1000</v>
      </c>
      <c r="D35" s="191">
        <v>5.0000000000000001E-3</v>
      </c>
      <c r="E35" s="197">
        <v>0.05</v>
      </c>
      <c r="F35" s="191">
        <v>0</v>
      </c>
      <c r="G35" s="188">
        <v>0</v>
      </c>
      <c r="H35" s="191">
        <v>5.0000000000000001E-3</v>
      </c>
      <c r="I35" s="264">
        <v>-5</v>
      </c>
      <c r="J35" s="265">
        <v>-5</v>
      </c>
    </row>
    <row r="36" spans="1:12" x14ac:dyDescent="0.3">
      <c r="A36" s="223">
        <v>15</v>
      </c>
      <c r="B36" s="259" t="s">
        <v>214</v>
      </c>
      <c r="C36" s="188">
        <v>1000</v>
      </c>
      <c r="D36" s="191">
        <v>5.0000000000000001E-3</v>
      </c>
      <c r="E36" s="197">
        <v>0.05</v>
      </c>
      <c r="F36" s="191">
        <v>0</v>
      </c>
      <c r="G36" s="188">
        <v>0</v>
      </c>
      <c r="H36" s="191">
        <v>5.0000000000000001E-3</v>
      </c>
      <c r="I36" s="264">
        <v>-5</v>
      </c>
      <c r="J36" s="265">
        <v>-5</v>
      </c>
      <c r="K36" s="190"/>
    </row>
    <row r="37" spans="1:12" x14ac:dyDescent="0.3">
      <c r="B37" s="259"/>
      <c r="C37" s="188"/>
      <c r="D37" s="191"/>
      <c r="E37" s="197"/>
      <c r="F37" s="191"/>
      <c r="G37" s="188"/>
      <c r="H37" s="191"/>
      <c r="I37" s="264"/>
      <c r="J37" s="265"/>
      <c r="K37" s="190"/>
    </row>
    <row r="38" spans="1:12" x14ac:dyDescent="0.3">
      <c r="A38" s="223" t="s">
        <v>184</v>
      </c>
      <c r="B38" s="259"/>
      <c r="C38" s="188">
        <f>SUM(C22:C36)</f>
        <v>15000</v>
      </c>
      <c r="D38" s="188"/>
      <c r="E38" s="188"/>
      <c r="F38" s="188"/>
      <c r="G38" s="188">
        <f>SUM(G22:G36)</f>
        <v>100</v>
      </c>
      <c r="H38" s="266">
        <f>SUM(H22:H36)</f>
        <v>6.4999999999999988E-2</v>
      </c>
      <c r="I38" s="188">
        <f>SUM(I22:I36)</f>
        <v>-65</v>
      </c>
      <c r="J38" s="188">
        <f>SUM(J22:J36)</f>
        <v>35</v>
      </c>
      <c r="K38" s="190"/>
      <c r="L38" s="188"/>
    </row>
    <row r="39" spans="1:12" x14ac:dyDescent="0.3">
      <c r="B39" s="189"/>
      <c r="C39" s="188"/>
      <c r="F39" s="191"/>
      <c r="G39" s="188"/>
      <c r="H39" s="191"/>
      <c r="I39" s="188"/>
      <c r="J39" s="196"/>
      <c r="K39" s="190"/>
      <c r="L39" s="188"/>
    </row>
    <row r="40" spans="1:12" x14ac:dyDescent="0.3">
      <c r="A40" s="223" t="s">
        <v>190</v>
      </c>
      <c r="B40" s="189"/>
      <c r="C40" s="188">
        <f t="shared" ref="C40:J40" si="6">AVERAGE(C22:C36)</f>
        <v>1000</v>
      </c>
      <c r="D40" s="205">
        <f t="shared" si="6"/>
        <v>5.0000000000000001E-3</v>
      </c>
      <c r="E40" s="205">
        <f t="shared" si="6"/>
        <v>4.3333333333333335E-2</v>
      </c>
      <c r="F40" s="205">
        <f t="shared" si="6"/>
        <v>6.6666666666666671E-3</v>
      </c>
      <c r="G40" s="204">
        <f t="shared" si="6"/>
        <v>6.666666666666667</v>
      </c>
      <c r="H40" s="205">
        <f t="shared" si="6"/>
        <v>4.3333333333333323E-3</v>
      </c>
      <c r="I40" s="188">
        <f t="shared" si="6"/>
        <v>-4.333333333333333</v>
      </c>
      <c r="J40" s="188">
        <f t="shared" si="6"/>
        <v>2.3333333333333335</v>
      </c>
      <c r="K40" s="190"/>
      <c r="L40" s="188"/>
    </row>
    <row r="41" spans="1:12" x14ac:dyDescent="0.3">
      <c r="B41" s="189"/>
      <c r="C41" s="188"/>
      <c r="F41" s="191"/>
      <c r="G41" s="188"/>
      <c r="H41" s="191"/>
      <c r="I41" s="188"/>
      <c r="J41" s="196"/>
      <c r="K41" s="190"/>
      <c r="L41" s="188"/>
    </row>
    <row r="42" spans="1:12" x14ac:dyDescent="0.3">
      <c r="B42" s="189"/>
      <c r="C42" s="188"/>
      <c r="F42" s="191"/>
      <c r="G42" s="188"/>
      <c r="H42" s="191"/>
      <c r="I42" s="188"/>
      <c r="J42" s="196"/>
      <c r="K42" s="190"/>
      <c r="L42" s="188"/>
    </row>
    <row r="43" spans="1:12" x14ac:dyDescent="0.3">
      <c r="A43" s="284" t="s">
        <v>29</v>
      </c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</row>
    <row r="44" spans="1:12" x14ac:dyDescent="0.3">
      <c r="A44" s="223" t="s">
        <v>182</v>
      </c>
      <c r="B44" s="259" t="s">
        <v>1</v>
      </c>
      <c r="C44" s="185" t="s">
        <v>209</v>
      </c>
      <c r="D44" s="185" t="s">
        <v>210</v>
      </c>
      <c r="E44" s="185" t="s">
        <v>211</v>
      </c>
      <c r="F44" s="185" t="s">
        <v>212</v>
      </c>
      <c r="G44" s="185" t="s">
        <v>2</v>
      </c>
      <c r="H44" s="185" t="s">
        <v>213</v>
      </c>
      <c r="I44" s="190" t="s">
        <v>9</v>
      </c>
      <c r="J44" s="185" t="s">
        <v>7</v>
      </c>
    </row>
    <row r="45" spans="1:12" x14ac:dyDescent="0.3">
      <c r="A45" s="223">
        <v>1</v>
      </c>
      <c r="B45" s="259" t="s">
        <v>220</v>
      </c>
      <c r="C45" s="188">
        <v>1000</v>
      </c>
      <c r="D45" s="191">
        <v>5.0000000000000001E-3</v>
      </c>
      <c r="E45" s="197">
        <v>0.03</v>
      </c>
      <c r="F45" s="191">
        <v>0.03</v>
      </c>
      <c r="G45" s="188">
        <v>30</v>
      </c>
      <c r="H45" s="191">
        <v>0</v>
      </c>
      <c r="I45" s="213">
        <v>0</v>
      </c>
      <c r="J45" s="265">
        <v>30</v>
      </c>
    </row>
    <row r="46" spans="1:12" x14ac:dyDescent="0.3">
      <c r="A46" s="223">
        <v>2</v>
      </c>
      <c r="B46" s="259" t="s">
        <v>221</v>
      </c>
      <c r="C46" s="188">
        <v>1000</v>
      </c>
      <c r="D46" s="191">
        <v>5.0000000000000001E-3</v>
      </c>
      <c r="E46" s="197">
        <v>0.03</v>
      </c>
      <c r="F46" s="191">
        <v>0.03</v>
      </c>
      <c r="G46" s="188">
        <v>30</v>
      </c>
      <c r="H46" s="191">
        <v>0</v>
      </c>
      <c r="I46" s="213">
        <v>0</v>
      </c>
      <c r="J46" s="265">
        <v>30</v>
      </c>
    </row>
    <row r="47" spans="1:12" x14ac:dyDescent="0.3">
      <c r="A47" s="223">
        <v>3</v>
      </c>
      <c r="B47" s="259" t="s">
        <v>222</v>
      </c>
      <c r="C47" s="188">
        <v>1000</v>
      </c>
      <c r="D47" s="191">
        <v>5.0000000000000001E-3</v>
      </c>
      <c r="E47" s="197">
        <v>0.03</v>
      </c>
      <c r="F47" s="191">
        <v>0.03</v>
      </c>
      <c r="G47" s="188">
        <v>30</v>
      </c>
      <c r="H47" s="191">
        <v>0</v>
      </c>
      <c r="I47" s="213">
        <v>0</v>
      </c>
      <c r="J47" s="265">
        <v>30</v>
      </c>
    </row>
    <row r="48" spans="1:12" x14ac:dyDescent="0.3">
      <c r="A48" s="223">
        <v>4</v>
      </c>
      <c r="B48" s="259" t="s">
        <v>223</v>
      </c>
      <c r="C48" s="188">
        <v>1000</v>
      </c>
      <c r="D48" s="191">
        <v>5.0000000000000001E-3</v>
      </c>
      <c r="E48" s="197">
        <v>0.03</v>
      </c>
      <c r="F48" s="191">
        <v>0.03</v>
      </c>
      <c r="G48" s="188">
        <v>30</v>
      </c>
      <c r="H48" s="191">
        <v>0</v>
      </c>
      <c r="I48" s="264">
        <v>0</v>
      </c>
      <c r="J48" s="265">
        <v>30</v>
      </c>
    </row>
    <row r="49" spans="1:10" x14ac:dyDescent="0.3">
      <c r="A49" s="223">
        <v>5</v>
      </c>
      <c r="B49" s="259" t="s">
        <v>224</v>
      </c>
      <c r="C49" s="188">
        <v>1000</v>
      </c>
      <c r="D49" s="191">
        <v>5.0000000000000001E-3</v>
      </c>
      <c r="E49" s="197">
        <v>0.03</v>
      </c>
      <c r="F49" s="191">
        <v>0.03</v>
      </c>
      <c r="G49" s="188">
        <v>30</v>
      </c>
      <c r="H49" s="191">
        <v>0</v>
      </c>
      <c r="I49" s="264">
        <v>0</v>
      </c>
      <c r="J49" s="265">
        <v>30</v>
      </c>
    </row>
    <row r="50" spans="1:10" x14ac:dyDescent="0.3">
      <c r="A50" s="223">
        <v>6</v>
      </c>
      <c r="B50" s="259" t="s">
        <v>225</v>
      </c>
      <c r="C50" s="188">
        <v>1000</v>
      </c>
      <c r="D50" s="191">
        <v>5.0000000000000001E-3</v>
      </c>
      <c r="E50" s="197">
        <v>0.03</v>
      </c>
      <c r="F50" s="191">
        <v>0</v>
      </c>
      <c r="G50" s="188">
        <v>0</v>
      </c>
      <c r="H50" s="191">
        <v>5.0000000000000001E-3</v>
      </c>
      <c r="I50" s="264">
        <v>-5</v>
      </c>
      <c r="J50" s="265">
        <v>-5</v>
      </c>
    </row>
    <row r="51" spans="1:10" x14ac:dyDescent="0.3">
      <c r="A51" s="223">
        <v>7</v>
      </c>
      <c r="B51" s="259" t="s">
        <v>226</v>
      </c>
      <c r="C51" s="188">
        <v>1000</v>
      </c>
      <c r="D51" s="191">
        <v>5.0000000000000001E-3</v>
      </c>
      <c r="E51" s="197">
        <v>0.03</v>
      </c>
      <c r="F51" s="191">
        <v>0</v>
      </c>
      <c r="G51" s="188">
        <v>0</v>
      </c>
      <c r="H51" s="191">
        <v>5.0000000000000001E-3</v>
      </c>
      <c r="I51" s="264">
        <v>-5</v>
      </c>
      <c r="J51" s="265">
        <v>-5</v>
      </c>
    </row>
    <row r="52" spans="1:10" x14ac:dyDescent="0.3">
      <c r="A52" s="223">
        <v>8</v>
      </c>
      <c r="B52" s="259" t="s">
        <v>227</v>
      </c>
      <c r="C52" s="188">
        <v>1000</v>
      </c>
      <c r="D52" s="191">
        <v>5.0000000000000001E-3</v>
      </c>
      <c r="E52" s="197">
        <v>0.03</v>
      </c>
      <c r="F52" s="191">
        <v>0</v>
      </c>
      <c r="G52" s="188">
        <v>0</v>
      </c>
      <c r="H52" s="191">
        <v>5.0000000000000001E-3</v>
      </c>
      <c r="I52" s="264">
        <v>-5</v>
      </c>
      <c r="J52" s="265">
        <v>-5</v>
      </c>
    </row>
    <row r="53" spans="1:10" x14ac:dyDescent="0.3">
      <c r="A53" s="223">
        <v>9</v>
      </c>
      <c r="B53" s="259" t="s">
        <v>214</v>
      </c>
      <c r="C53" s="188">
        <v>1000</v>
      </c>
      <c r="D53" s="191">
        <v>5.0000000000000001E-3</v>
      </c>
      <c r="E53" s="197">
        <v>0.03</v>
      </c>
      <c r="F53" s="191">
        <v>0</v>
      </c>
      <c r="G53" s="188">
        <v>0</v>
      </c>
      <c r="H53" s="191">
        <v>5.0000000000000001E-3</v>
      </c>
      <c r="I53" s="264">
        <v>-5</v>
      </c>
      <c r="J53" s="265">
        <v>-5</v>
      </c>
    </row>
    <row r="54" spans="1:10" x14ac:dyDescent="0.3">
      <c r="A54" s="223">
        <v>10</v>
      </c>
      <c r="B54" s="259" t="s">
        <v>215</v>
      </c>
      <c r="C54" s="188">
        <v>1000</v>
      </c>
      <c r="D54" s="191">
        <v>5.0000000000000001E-3</v>
      </c>
      <c r="E54" s="197">
        <v>0.03</v>
      </c>
      <c r="F54" s="191">
        <v>0</v>
      </c>
      <c r="G54" s="188">
        <v>0</v>
      </c>
      <c r="H54" s="191">
        <v>5.0000000000000001E-3</v>
      </c>
      <c r="I54" s="264">
        <v>-5</v>
      </c>
      <c r="J54" s="265">
        <v>-5</v>
      </c>
    </row>
    <row r="55" spans="1:10" x14ac:dyDescent="0.3">
      <c r="A55" s="223">
        <v>11</v>
      </c>
      <c r="B55" s="259" t="s">
        <v>216</v>
      </c>
      <c r="C55" s="188">
        <v>1000</v>
      </c>
      <c r="D55" s="191">
        <v>5.0000000000000001E-3</v>
      </c>
      <c r="E55" s="197">
        <v>0.03</v>
      </c>
      <c r="F55" s="191">
        <v>0</v>
      </c>
      <c r="G55" s="188">
        <v>0</v>
      </c>
      <c r="H55" s="191">
        <v>5.0000000000000001E-3</v>
      </c>
      <c r="I55" s="264">
        <v>-5</v>
      </c>
      <c r="J55" s="265">
        <v>-5</v>
      </c>
    </row>
    <row r="56" spans="1:10" x14ac:dyDescent="0.3">
      <c r="A56" s="223">
        <v>12</v>
      </c>
      <c r="B56" s="259" t="s">
        <v>217</v>
      </c>
      <c r="C56" s="188">
        <v>1000</v>
      </c>
      <c r="D56" s="191">
        <v>5.0000000000000001E-3</v>
      </c>
      <c r="E56" s="197">
        <v>0.03</v>
      </c>
      <c r="F56" s="191">
        <v>0</v>
      </c>
      <c r="G56" s="188">
        <v>0</v>
      </c>
      <c r="H56" s="191">
        <v>5.0000000000000001E-3</v>
      </c>
      <c r="I56" s="264">
        <v>-5</v>
      </c>
      <c r="J56" s="265">
        <v>-5</v>
      </c>
    </row>
    <row r="57" spans="1:10" x14ac:dyDescent="0.3">
      <c r="B57" s="259"/>
      <c r="C57" s="188"/>
      <c r="D57" s="191"/>
      <c r="E57" s="197"/>
      <c r="F57" s="191"/>
      <c r="G57" s="188"/>
      <c r="H57" s="191"/>
      <c r="I57" s="190"/>
      <c r="J57" s="211"/>
    </row>
    <row r="58" spans="1:10" x14ac:dyDescent="0.3">
      <c r="A58" s="223" t="s">
        <v>184</v>
      </c>
      <c r="C58" s="188">
        <f>SUM(C45:C56)</f>
        <v>12000</v>
      </c>
      <c r="E58" s="197"/>
      <c r="F58" s="191">
        <f>SUM(F45:F56)</f>
        <v>0.15</v>
      </c>
      <c r="G58" s="188">
        <f>SUM(G45:G56)</f>
        <v>150</v>
      </c>
      <c r="H58" s="191">
        <f>SUM(H45:H56)</f>
        <v>3.5000000000000003E-2</v>
      </c>
      <c r="J58" s="198">
        <f>SUM(J45:J56)</f>
        <v>115</v>
      </c>
    </row>
    <row r="59" spans="1:10" x14ac:dyDescent="0.3">
      <c r="A59" s="223" t="s">
        <v>190</v>
      </c>
      <c r="C59" s="188">
        <f t="shared" ref="C59:J59" si="7">AVERAGE(C45:C56)</f>
        <v>1000</v>
      </c>
      <c r="D59" s="205">
        <f t="shared" si="7"/>
        <v>4.9999999999999992E-3</v>
      </c>
      <c r="E59" s="205">
        <f t="shared" si="7"/>
        <v>3.0000000000000009E-2</v>
      </c>
      <c r="F59" s="208">
        <f t="shared" si="7"/>
        <v>1.2499999999999999E-2</v>
      </c>
      <c r="G59" s="188">
        <f t="shared" si="7"/>
        <v>12.5</v>
      </c>
      <c r="H59" s="209">
        <f t="shared" si="7"/>
        <v>2.9166666666666668E-3</v>
      </c>
      <c r="I59" s="188">
        <f t="shared" si="7"/>
        <v>-2.9166666666666665</v>
      </c>
      <c r="J59" s="188">
        <f t="shared" si="7"/>
        <v>9.5833333333333339</v>
      </c>
    </row>
    <row r="60" spans="1:10" x14ac:dyDescent="0.3">
      <c r="C60" s="188"/>
      <c r="D60" s="188"/>
      <c r="E60" s="188"/>
      <c r="F60" s="188"/>
      <c r="G60" s="188"/>
      <c r="H60" s="188"/>
      <c r="I60" s="188"/>
      <c r="J60" s="188"/>
    </row>
    <row r="61" spans="1:10" x14ac:dyDescent="0.3">
      <c r="C61" s="188"/>
      <c r="D61" s="188"/>
      <c r="E61" s="188"/>
      <c r="F61" s="188"/>
      <c r="G61" s="188"/>
      <c r="H61" s="188"/>
      <c r="I61" s="188"/>
      <c r="J61" s="188"/>
    </row>
    <row r="62" spans="1:10" x14ac:dyDescent="0.3">
      <c r="A62" s="284" t="s">
        <v>40</v>
      </c>
      <c r="B62" s="284"/>
      <c r="C62" s="284"/>
      <c r="D62" s="284"/>
      <c r="E62" s="284"/>
      <c r="F62" s="284"/>
      <c r="G62" s="284"/>
      <c r="H62" s="284"/>
      <c r="I62" s="284"/>
      <c r="J62" s="284"/>
    </row>
    <row r="63" spans="1:10" x14ac:dyDescent="0.3">
      <c r="A63" s="224" t="s">
        <v>182</v>
      </c>
      <c r="B63" s="194" t="s">
        <v>1</v>
      </c>
      <c r="C63" s="193" t="s">
        <v>209</v>
      </c>
      <c r="D63" s="193" t="s">
        <v>210</v>
      </c>
      <c r="E63" s="193" t="s">
        <v>211</v>
      </c>
      <c r="F63" s="193" t="s">
        <v>212</v>
      </c>
      <c r="G63" s="193" t="s">
        <v>2</v>
      </c>
      <c r="H63" s="193" t="s">
        <v>213</v>
      </c>
      <c r="I63" s="195" t="s">
        <v>9</v>
      </c>
      <c r="J63" s="193" t="s">
        <v>7</v>
      </c>
    </row>
    <row r="64" spans="1:10" x14ac:dyDescent="0.3">
      <c r="A64" s="224">
        <v>1</v>
      </c>
      <c r="B64" s="194" t="s">
        <v>221</v>
      </c>
      <c r="C64" s="200">
        <v>1000</v>
      </c>
      <c r="D64" s="201">
        <v>5.0000000000000001E-3</v>
      </c>
      <c r="E64" s="197">
        <v>0.05</v>
      </c>
      <c r="F64" s="201">
        <v>0.05</v>
      </c>
      <c r="G64" s="200">
        <v>50</v>
      </c>
      <c r="H64" s="201">
        <v>0</v>
      </c>
      <c r="I64" s="267">
        <v>0</v>
      </c>
      <c r="J64" s="203">
        <v>50</v>
      </c>
    </row>
    <row r="65" spans="1:10" x14ac:dyDescent="0.3">
      <c r="A65" s="224">
        <v>2</v>
      </c>
      <c r="B65" s="194" t="s">
        <v>222</v>
      </c>
      <c r="C65" s="200">
        <v>1000</v>
      </c>
      <c r="D65" s="201">
        <v>5.0000000000000001E-3</v>
      </c>
      <c r="E65" s="197">
        <v>0.05</v>
      </c>
      <c r="F65" s="201">
        <v>0</v>
      </c>
      <c r="G65" s="200">
        <v>0</v>
      </c>
      <c r="H65" s="201">
        <v>5.0000000000000001E-3</v>
      </c>
      <c r="I65" s="200">
        <v>-5</v>
      </c>
      <c r="J65" s="200">
        <v>-5</v>
      </c>
    </row>
    <row r="66" spans="1:10" x14ac:dyDescent="0.3">
      <c r="A66" s="224">
        <v>3</v>
      </c>
      <c r="B66" s="194" t="s">
        <v>223</v>
      </c>
      <c r="C66" s="200">
        <v>1000</v>
      </c>
      <c r="D66" s="201">
        <v>5.0000000000000001E-3</v>
      </c>
      <c r="E66" s="197">
        <v>0.05</v>
      </c>
      <c r="F66" s="201">
        <v>0</v>
      </c>
      <c r="G66" s="200">
        <v>0</v>
      </c>
      <c r="H66" s="201">
        <v>5.0000000000000001E-3</v>
      </c>
      <c r="I66" s="200">
        <v>-5</v>
      </c>
      <c r="J66" s="200">
        <v>-5</v>
      </c>
    </row>
    <row r="67" spans="1:10" x14ac:dyDescent="0.3">
      <c r="A67" s="224">
        <v>4</v>
      </c>
      <c r="B67" s="194" t="s">
        <v>224</v>
      </c>
      <c r="C67" s="200">
        <v>1000</v>
      </c>
      <c r="D67" s="201">
        <v>5.0000000000000001E-3</v>
      </c>
      <c r="E67" s="197">
        <v>0.05</v>
      </c>
      <c r="F67" s="201">
        <v>0</v>
      </c>
      <c r="G67" s="200">
        <v>0</v>
      </c>
      <c r="H67" s="201">
        <v>5.0000000000000001E-3</v>
      </c>
      <c r="I67" s="200">
        <v>-5</v>
      </c>
      <c r="J67" s="200">
        <v>-5</v>
      </c>
    </row>
    <row r="68" spans="1:10" x14ac:dyDescent="0.3">
      <c r="A68" s="224">
        <v>5</v>
      </c>
      <c r="B68" s="194" t="s">
        <v>225</v>
      </c>
      <c r="C68" s="200">
        <v>1000</v>
      </c>
      <c r="D68" s="201">
        <v>5.0000000000000001E-3</v>
      </c>
      <c r="E68" s="197">
        <v>0.05</v>
      </c>
      <c r="F68" s="201">
        <v>0</v>
      </c>
      <c r="G68" s="200">
        <v>0</v>
      </c>
      <c r="H68" s="201">
        <v>5.0000000000000001E-3</v>
      </c>
      <c r="I68" s="200">
        <v>-5</v>
      </c>
      <c r="J68" s="203">
        <v>-5</v>
      </c>
    </row>
    <row r="69" spans="1:10" x14ac:dyDescent="0.3">
      <c r="A69" s="224">
        <v>6</v>
      </c>
      <c r="B69" s="194" t="s">
        <v>226</v>
      </c>
      <c r="C69" s="200">
        <v>1000</v>
      </c>
      <c r="D69" s="201">
        <v>5.0000000000000001E-3</v>
      </c>
      <c r="E69" s="197">
        <v>0.05</v>
      </c>
      <c r="F69" s="201">
        <v>0</v>
      </c>
      <c r="G69" s="200">
        <v>0</v>
      </c>
      <c r="H69" s="201">
        <v>5.0000000000000001E-3</v>
      </c>
      <c r="I69" s="200">
        <v>-5</v>
      </c>
      <c r="J69" s="203">
        <v>-5</v>
      </c>
    </row>
    <row r="70" spans="1:10" x14ac:dyDescent="0.3">
      <c r="A70" s="224"/>
      <c r="B70" s="194"/>
      <c r="C70" s="200"/>
      <c r="D70" s="201"/>
      <c r="E70" s="197"/>
      <c r="F70" s="201"/>
      <c r="G70" s="200"/>
      <c r="H70" s="201"/>
      <c r="I70" s="267"/>
      <c r="J70" s="203"/>
    </row>
    <row r="71" spans="1:10" x14ac:dyDescent="0.3">
      <c r="A71" s="223" t="s">
        <v>184</v>
      </c>
      <c r="C71" s="188">
        <f>SUM(C64:C69)</f>
        <v>6000</v>
      </c>
      <c r="D71" s="188"/>
      <c r="E71" s="188"/>
      <c r="F71" s="266">
        <f t="shared" ref="F71:J71" si="8">SUM(F64:F69)</f>
        <v>0.05</v>
      </c>
      <c r="G71" s="188">
        <f t="shared" si="8"/>
        <v>50</v>
      </c>
      <c r="H71" s="205">
        <f t="shared" si="8"/>
        <v>2.5000000000000001E-2</v>
      </c>
      <c r="I71" s="188">
        <f t="shared" si="8"/>
        <v>-25</v>
      </c>
      <c r="J71" s="188">
        <f t="shared" si="8"/>
        <v>25</v>
      </c>
    </row>
    <row r="72" spans="1:10" x14ac:dyDescent="0.3">
      <c r="A72" s="223" t="s">
        <v>190</v>
      </c>
      <c r="C72" s="188">
        <f>AVERAGE(C64:C69)</f>
        <v>1000</v>
      </c>
      <c r="D72" s="205">
        <f t="shared" ref="D72:J72" si="9">AVERAGE(D64:D69)</f>
        <v>5.0000000000000001E-3</v>
      </c>
      <c r="E72" s="205">
        <f t="shared" si="9"/>
        <v>4.9999999999999996E-2</v>
      </c>
      <c r="F72" s="205">
        <f t="shared" si="9"/>
        <v>8.3333333333333332E-3</v>
      </c>
      <c r="G72" s="188">
        <f t="shared" si="9"/>
        <v>8.3333333333333339</v>
      </c>
      <c r="H72" s="205">
        <f t="shared" si="9"/>
        <v>4.1666666666666666E-3</v>
      </c>
      <c r="I72" s="188">
        <f t="shared" si="9"/>
        <v>-4.166666666666667</v>
      </c>
      <c r="J72" s="188">
        <f t="shared" si="9"/>
        <v>4.166666666666667</v>
      </c>
    </row>
    <row r="73" spans="1:10" x14ac:dyDescent="0.3">
      <c r="C73" s="188"/>
      <c r="D73" s="205"/>
      <c r="E73" s="205"/>
      <c r="F73" s="205"/>
      <c r="G73" s="204"/>
      <c r="H73" s="205"/>
      <c r="I73" s="188"/>
      <c r="J73" s="188"/>
    </row>
    <row r="74" spans="1:10" x14ac:dyDescent="0.3">
      <c r="C74" s="188"/>
      <c r="D74" s="205"/>
      <c r="E74" s="205"/>
      <c r="F74" s="205"/>
      <c r="G74" s="204"/>
      <c r="H74" s="205"/>
      <c r="I74" s="188"/>
      <c r="J74" s="188"/>
    </row>
    <row r="75" spans="1:10" x14ac:dyDescent="0.3">
      <c r="A75" s="284" t="s">
        <v>41</v>
      </c>
      <c r="B75" s="284"/>
      <c r="C75" s="284"/>
      <c r="D75" s="284"/>
      <c r="E75" s="284"/>
      <c r="F75" s="284"/>
      <c r="G75" s="284"/>
      <c r="H75" s="284"/>
      <c r="I75" s="284"/>
      <c r="J75" s="284"/>
    </row>
    <row r="76" spans="1:10" x14ac:dyDescent="0.3">
      <c r="A76" s="224" t="s">
        <v>182</v>
      </c>
      <c r="B76" s="194" t="s">
        <v>1</v>
      </c>
      <c r="C76" s="193" t="s">
        <v>209</v>
      </c>
      <c r="D76" s="193" t="s">
        <v>210</v>
      </c>
      <c r="E76" s="193" t="s">
        <v>211</v>
      </c>
      <c r="F76" s="193" t="s">
        <v>212</v>
      </c>
      <c r="G76" s="193" t="s">
        <v>2</v>
      </c>
      <c r="H76" s="193" t="s">
        <v>213</v>
      </c>
      <c r="I76" s="195" t="s">
        <v>9</v>
      </c>
      <c r="J76" s="193" t="s">
        <v>7</v>
      </c>
    </row>
    <row r="77" spans="1:10" x14ac:dyDescent="0.3">
      <c r="A77" s="224">
        <v>1</v>
      </c>
      <c r="B77" s="194" t="s">
        <v>227</v>
      </c>
      <c r="C77" s="200">
        <v>1000</v>
      </c>
      <c r="D77" s="201">
        <v>5.0000000000000001E-3</v>
      </c>
      <c r="E77" s="202">
        <v>0.03</v>
      </c>
      <c r="F77" s="201">
        <v>0</v>
      </c>
      <c r="G77" s="200">
        <v>0</v>
      </c>
      <c r="H77" s="201">
        <v>5.0000000000000001E-3</v>
      </c>
      <c r="I77" s="200">
        <v>-5</v>
      </c>
      <c r="J77" s="200">
        <v>-5</v>
      </c>
    </row>
    <row r="78" spans="1:10" x14ac:dyDescent="0.3">
      <c r="A78" s="224">
        <v>2</v>
      </c>
      <c r="B78" s="194" t="s">
        <v>218</v>
      </c>
      <c r="C78" s="200">
        <v>1000</v>
      </c>
      <c r="D78" s="201">
        <v>5.0000000000000001E-3</v>
      </c>
      <c r="E78" s="202">
        <v>0.04</v>
      </c>
      <c r="F78" s="201">
        <v>0</v>
      </c>
      <c r="G78" s="200">
        <v>0</v>
      </c>
      <c r="H78" s="201">
        <v>5.0000000000000001E-3</v>
      </c>
      <c r="I78" s="200">
        <v>-5</v>
      </c>
      <c r="J78" s="200">
        <v>-5</v>
      </c>
    </row>
    <row r="79" spans="1:10" x14ac:dyDescent="0.3">
      <c r="A79" s="224">
        <v>3</v>
      </c>
      <c r="B79" s="194" t="s">
        <v>219</v>
      </c>
      <c r="C79" s="200">
        <v>1000</v>
      </c>
      <c r="D79" s="201">
        <v>5.0000000000000001E-3</v>
      </c>
      <c r="E79" s="202">
        <v>0.05</v>
      </c>
      <c r="F79" s="201">
        <v>0</v>
      </c>
      <c r="G79" s="200">
        <v>0</v>
      </c>
      <c r="H79" s="201">
        <v>5.0000000000000001E-3</v>
      </c>
      <c r="I79" s="200">
        <v>-5</v>
      </c>
      <c r="J79" s="200">
        <v>-5</v>
      </c>
    </row>
    <row r="80" spans="1:10" x14ac:dyDescent="0.3">
      <c r="A80" s="224">
        <v>4</v>
      </c>
      <c r="B80" s="194" t="s">
        <v>216</v>
      </c>
      <c r="C80" s="200">
        <v>1000</v>
      </c>
      <c r="D80" s="201">
        <v>5.0000000000000001E-3</v>
      </c>
      <c r="E80" s="202">
        <v>0.03</v>
      </c>
      <c r="F80" s="201">
        <v>0</v>
      </c>
      <c r="G80" s="200">
        <v>0</v>
      </c>
      <c r="H80" s="201">
        <v>5.0000000000000001E-3</v>
      </c>
      <c r="I80" s="200">
        <v>-5</v>
      </c>
      <c r="J80" s="200">
        <v>-5</v>
      </c>
    </row>
    <row r="81" spans="1:10" x14ac:dyDescent="0.3">
      <c r="A81" s="224"/>
      <c r="B81" s="194"/>
      <c r="C81" s="200"/>
      <c r="D81" s="201"/>
      <c r="E81" s="202"/>
      <c r="F81" s="201"/>
      <c r="G81" s="200"/>
      <c r="H81" s="201"/>
      <c r="I81" s="195"/>
      <c r="J81" s="203"/>
    </row>
    <row r="82" spans="1:10" x14ac:dyDescent="0.3">
      <c r="A82" s="224" t="s">
        <v>184</v>
      </c>
      <c r="B82" s="194"/>
      <c r="C82" s="200">
        <f>SUM(C77:C80)</f>
        <v>4000</v>
      </c>
      <c r="D82" s="201"/>
      <c r="E82" s="202"/>
      <c r="F82" s="201">
        <f>SUM(F77:F80)</f>
        <v>0</v>
      </c>
      <c r="G82" s="200">
        <f>SUM(G77:G80)</f>
        <v>0</v>
      </c>
      <c r="H82" s="201">
        <f>SUM(H77:H80)</f>
        <v>0.02</v>
      </c>
      <c r="I82" s="203">
        <f>SUM(I77:I80)</f>
        <v>-20</v>
      </c>
      <c r="J82" s="203">
        <f>SUM(J77:J80)</f>
        <v>-20</v>
      </c>
    </row>
    <row r="83" spans="1:10" x14ac:dyDescent="0.3">
      <c r="A83" s="223" t="s">
        <v>190</v>
      </c>
      <c r="C83" s="188">
        <f>AVERAGE(C77:C80)</f>
        <v>1000</v>
      </c>
      <c r="D83" s="205">
        <f>AVERAGE(D77:D80)</f>
        <v>5.0000000000000001E-3</v>
      </c>
      <c r="E83" s="205">
        <f>AVERAGE(E77:E80)</f>
        <v>3.7500000000000006E-2</v>
      </c>
      <c r="F83" s="205">
        <f t="shared" ref="F83:J83" si="10">AVERAGE(F77:F80)</f>
        <v>0</v>
      </c>
      <c r="G83" s="204">
        <f>AVERAGE(G77:G80)</f>
        <v>0</v>
      </c>
      <c r="H83" s="206">
        <f t="shared" si="10"/>
        <v>5.0000000000000001E-3</v>
      </c>
      <c r="I83" s="207">
        <f t="shared" si="10"/>
        <v>-5</v>
      </c>
      <c r="J83" s="188">
        <f t="shared" si="10"/>
        <v>-5</v>
      </c>
    </row>
    <row r="84" spans="1:10" x14ac:dyDescent="0.3">
      <c r="C84" s="188"/>
      <c r="D84" s="205"/>
      <c r="E84" s="205"/>
      <c r="F84" s="205"/>
      <c r="G84" s="188"/>
      <c r="H84" s="206"/>
      <c r="I84" s="199"/>
      <c r="J84" s="188"/>
    </row>
    <row r="85" spans="1:10" x14ac:dyDescent="0.3">
      <c r="C85" s="188"/>
      <c r="D85" s="205"/>
      <c r="E85" s="205"/>
      <c r="F85" s="205"/>
      <c r="G85" s="188"/>
      <c r="H85" s="206"/>
      <c r="I85" s="199"/>
      <c r="J85" s="188"/>
    </row>
    <row r="86" spans="1:10" x14ac:dyDescent="0.3">
      <c r="A86" s="259" t="s">
        <v>182</v>
      </c>
      <c r="B86" s="259" t="s">
        <v>1</v>
      </c>
      <c r="C86" s="259" t="s">
        <v>209</v>
      </c>
      <c r="D86" s="259" t="s">
        <v>210</v>
      </c>
      <c r="E86" s="259" t="s">
        <v>211</v>
      </c>
      <c r="F86" s="259" t="s">
        <v>212</v>
      </c>
      <c r="G86" s="259" t="s">
        <v>2</v>
      </c>
      <c r="H86" s="259" t="s">
        <v>213</v>
      </c>
      <c r="I86" s="259" t="s">
        <v>9</v>
      </c>
      <c r="J86" s="259" t="s">
        <v>7</v>
      </c>
    </row>
    <row r="87" spans="1:10" x14ac:dyDescent="0.3">
      <c r="A87" s="224">
        <v>1</v>
      </c>
      <c r="B87" s="194" t="s">
        <v>220</v>
      </c>
      <c r="C87" s="267">
        <v>1000</v>
      </c>
      <c r="D87" s="201">
        <v>5.0000000000000001E-3</v>
      </c>
      <c r="E87" s="202">
        <v>0.03</v>
      </c>
      <c r="F87" s="201">
        <v>0.03</v>
      </c>
      <c r="G87" s="200">
        <v>30</v>
      </c>
      <c r="H87" s="201">
        <v>0</v>
      </c>
      <c r="I87" s="267">
        <v>0</v>
      </c>
      <c r="J87" s="200">
        <v>30</v>
      </c>
    </row>
    <row r="88" spans="1:10" x14ac:dyDescent="0.3">
      <c r="A88" s="224">
        <v>2</v>
      </c>
      <c r="B88" s="194" t="s">
        <v>221</v>
      </c>
      <c r="C88" s="200">
        <v>1000</v>
      </c>
      <c r="D88" s="201">
        <v>5.0000000000000001E-3</v>
      </c>
      <c r="E88" s="202">
        <v>0.03</v>
      </c>
      <c r="F88" s="201">
        <v>0.03</v>
      </c>
      <c r="G88" s="200">
        <v>30</v>
      </c>
      <c r="H88" s="201">
        <v>0</v>
      </c>
      <c r="I88" s="267">
        <v>0</v>
      </c>
      <c r="J88" s="203">
        <v>30</v>
      </c>
    </row>
    <row r="89" spans="1:10" x14ac:dyDescent="0.3">
      <c r="A89" s="224">
        <v>3</v>
      </c>
      <c r="B89" s="194" t="s">
        <v>222</v>
      </c>
      <c r="C89" s="200">
        <v>1000</v>
      </c>
      <c r="D89" s="201">
        <v>5.0000000000000001E-3</v>
      </c>
      <c r="E89" s="202">
        <v>0.03</v>
      </c>
      <c r="F89" s="201">
        <v>0.03</v>
      </c>
      <c r="G89" s="200">
        <v>30</v>
      </c>
      <c r="H89" s="201">
        <v>0</v>
      </c>
      <c r="I89" s="267">
        <v>0</v>
      </c>
      <c r="J89" s="203">
        <v>30</v>
      </c>
    </row>
    <row r="90" spans="1:10" x14ac:dyDescent="0.3">
      <c r="A90" s="224">
        <v>4</v>
      </c>
      <c r="B90" s="194" t="s">
        <v>223</v>
      </c>
      <c r="C90" s="200">
        <v>1000</v>
      </c>
      <c r="D90" s="201">
        <v>5.0000000000000001E-3</v>
      </c>
      <c r="E90" s="202">
        <v>0.03</v>
      </c>
      <c r="F90" s="201">
        <v>0</v>
      </c>
      <c r="G90" s="200">
        <v>0</v>
      </c>
      <c r="H90" s="201">
        <v>5.0000000000000001E-3</v>
      </c>
      <c r="I90" s="267">
        <v>-5</v>
      </c>
      <c r="J90" s="203">
        <v>-5</v>
      </c>
    </row>
    <row r="91" spans="1:10" x14ac:dyDescent="0.3">
      <c r="A91" s="224">
        <v>5</v>
      </c>
      <c r="B91" s="194" t="s">
        <v>224</v>
      </c>
      <c r="C91" s="200">
        <v>1000</v>
      </c>
      <c r="D91" s="201">
        <v>5.0000000000000001E-3</v>
      </c>
      <c r="E91" s="202">
        <v>0.03</v>
      </c>
      <c r="F91" s="201">
        <v>0</v>
      </c>
      <c r="G91" s="200">
        <v>0</v>
      </c>
      <c r="H91" s="201">
        <v>5.0000000000000001E-3</v>
      </c>
      <c r="I91" s="267">
        <v>-5</v>
      </c>
      <c r="J91" s="203">
        <v>-5</v>
      </c>
    </row>
    <row r="92" spans="1:10" x14ac:dyDescent="0.3">
      <c r="A92" s="224">
        <v>6</v>
      </c>
      <c r="B92" s="194" t="s">
        <v>225</v>
      </c>
      <c r="C92" s="200">
        <v>1000</v>
      </c>
      <c r="D92" s="201">
        <v>5.0000000000000001E-3</v>
      </c>
      <c r="E92" s="202">
        <v>0.03</v>
      </c>
      <c r="F92" s="201">
        <v>0</v>
      </c>
      <c r="G92" s="200">
        <v>0</v>
      </c>
      <c r="H92" s="201">
        <v>5.0000000000000001E-3</v>
      </c>
      <c r="I92" s="267">
        <v>-5</v>
      </c>
      <c r="J92" s="203">
        <v>-5</v>
      </c>
    </row>
    <row r="93" spans="1:10" x14ac:dyDescent="0.3">
      <c r="A93" s="224">
        <v>7</v>
      </c>
      <c r="B93" s="194" t="s">
        <v>226</v>
      </c>
      <c r="C93" s="200">
        <v>1000</v>
      </c>
      <c r="D93" s="201">
        <v>5.0000000000000001E-3</v>
      </c>
      <c r="E93" s="202">
        <v>0.03</v>
      </c>
      <c r="F93" s="201">
        <v>0</v>
      </c>
      <c r="G93" s="200">
        <v>0</v>
      </c>
      <c r="H93" s="201">
        <v>5.0000000000000001E-3</v>
      </c>
      <c r="I93" s="267">
        <v>-5</v>
      </c>
      <c r="J93" s="203">
        <v>-5</v>
      </c>
    </row>
    <row r="94" spans="1:10" x14ac:dyDescent="0.3">
      <c r="A94" s="224">
        <v>8</v>
      </c>
      <c r="B94" s="194" t="s">
        <v>227</v>
      </c>
      <c r="C94" s="200">
        <v>1000</v>
      </c>
      <c r="D94" s="201">
        <v>5.0000000000000001E-3</v>
      </c>
      <c r="E94" s="202">
        <v>0.03</v>
      </c>
      <c r="F94" s="201">
        <v>0</v>
      </c>
      <c r="G94" s="200">
        <v>0</v>
      </c>
      <c r="H94" s="201">
        <v>5.0000000000000001E-3</v>
      </c>
      <c r="I94" s="267">
        <v>-5</v>
      </c>
      <c r="J94" s="203">
        <v>-5</v>
      </c>
    </row>
    <row r="95" spans="1:10" x14ac:dyDescent="0.3">
      <c r="A95" s="224"/>
      <c r="B95" s="194"/>
      <c r="C95" s="200"/>
      <c r="D95" s="201"/>
      <c r="E95" s="202"/>
      <c r="F95" s="201"/>
      <c r="G95" s="200"/>
      <c r="H95" s="201"/>
      <c r="I95" s="267"/>
      <c r="J95" s="203"/>
    </row>
    <row r="96" spans="1:10" x14ac:dyDescent="0.3">
      <c r="A96" s="224" t="s">
        <v>184</v>
      </c>
      <c r="B96" s="194"/>
      <c r="C96" s="200">
        <f>SUM(C87:C94)</f>
        <v>8000</v>
      </c>
      <c r="D96" s="200"/>
      <c r="E96" s="200"/>
      <c r="F96" s="268"/>
      <c r="G96" s="200">
        <f>SUM(G87:G94)</f>
        <v>90</v>
      </c>
      <c r="H96" s="200"/>
      <c r="I96" s="200">
        <f>SUM(I87:I94)</f>
        <v>-25</v>
      </c>
      <c r="J96" s="200">
        <f>SUM(J87:J94)</f>
        <v>65</v>
      </c>
    </row>
    <row r="97" spans="1:10" x14ac:dyDescent="0.3">
      <c r="A97" s="224" t="s">
        <v>190</v>
      </c>
      <c r="B97" s="194"/>
      <c r="C97" s="200">
        <f t="shared" ref="C97:E97" si="11">AVERAGE(C91:C94)</f>
        <v>1000</v>
      </c>
      <c r="D97" s="201">
        <f t="shared" si="11"/>
        <v>5.0000000000000001E-3</v>
      </c>
      <c r="E97" s="197">
        <f t="shared" si="11"/>
        <v>0.03</v>
      </c>
      <c r="F97" s="201">
        <f>AVERAGE(F87:F94)</f>
        <v>1.125E-2</v>
      </c>
      <c r="G97" s="200">
        <f>AVERAGE(G87:G94)</f>
        <v>11.25</v>
      </c>
      <c r="H97" s="201">
        <f>AVERAGE(H87:H94)</f>
        <v>3.1250000000000002E-3</v>
      </c>
      <c r="I97" s="267">
        <f>AVERAGE(I87:I94)</f>
        <v>-3.125</v>
      </c>
      <c r="J97" s="203">
        <f>AVERAGE(J87:J94)</f>
        <v>8.125</v>
      </c>
    </row>
    <row r="98" spans="1:10" x14ac:dyDescent="0.3">
      <c r="A98" s="224"/>
      <c r="B98" s="194"/>
      <c r="C98" s="200"/>
      <c r="D98" s="201"/>
      <c r="E98" s="212"/>
      <c r="F98" s="201"/>
      <c r="G98" s="200"/>
      <c r="H98" s="201"/>
      <c r="I98" s="195"/>
      <c r="J98" s="203"/>
    </row>
  </sheetData>
  <mergeCells count="4">
    <mergeCell ref="A20:J20"/>
    <mergeCell ref="A43:L43"/>
    <mergeCell ref="A62:J62"/>
    <mergeCell ref="A75:J75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2"/>
  <sheetViews>
    <sheetView tabSelected="1" zoomScale="150" workbookViewId="0">
      <pane xSplit="1" topLeftCell="D1" activePane="topRight" state="frozen"/>
      <selection pane="topRight" activeCell="B8" sqref="B8"/>
    </sheetView>
  </sheetViews>
  <sheetFormatPr baseColWidth="10" defaultRowHeight="16" x14ac:dyDescent="0.3"/>
  <cols>
    <col min="1" max="1" width="47.33203125" style="223" bestFit="1" customWidth="1"/>
    <col min="2" max="2" width="50" style="185" bestFit="1" customWidth="1"/>
    <col min="3" max="3" width="49.33203125" style="185" bestFit="1" customWidth="1"/>
    <col min="4" max="4" width="55.5" style="185" bestFit="1" customWidth="1"/>
    <col min="5" max="5" width="51.33203125" style="185" bestFit="1" customWidth="1"/>
    <col min="6" max="6" width="46.33203125" style="185" bestFit="1" customWidth="1"/>
    <col min="7" max="7" width="27.1640625" style="185" bestFit="1" customWidth="1"/>
    <col min="8" max="8" width="22.1640625" style="185" bestFit="1" customWidth="1"/>
    <col min="9" max="9" width="28.83203125" style="185" bestFit="1" customWidth="1"/>
    <col min="10" max="11" width="17.83203125" style="185" bestFit="1" customWidth="1"/>
    <col min="12" max="12" width="19.6640625" style="185" bestFit="1" customWidth="1"/>
    <col min="13" max="16384" width="10.83203125" style="185"/>
  </cols>
  <sheetData>
    <row r="1" spans="1:17" s="227" customFormat="1" ht="31" x14ac:dyDescent="0.35">
      <c r="A1" s="225" t="s">
        <v>110</v>
      </c>
      <c r="B1" s="255">
        <v>46286</v>
      </c>
      <c r="C1" s="255">
        <v>46287</v>
      </c>
      <c r="D1" s="255">
        <v>46288</v>
      </c>
      <c r="E1" s="255">
        <v>46289</v>
      </c>
      <c r="F1" s="255">
        <v>46290</v>
      </c>
      <c r="G1" s="226" t="s">
        <v>27</v>
      </c>
    </row>
    <row r="2" spans="1:17" ht="26" x14ac:dyDescent="0.3">
      <c r="A2" s="221" t="s">
        <v>192</v>
      </c>
      <c r="B2" s="261">
        <f>18583+B12</f>
        <v>19383</v>
      </c>
      <c r="C2" s="262">
        <f>B2+C12</f>
        <v>19543</v>
      </c>
      <c r="D2" s="262">
        <f>C2+D12</f>
        <v>19773</v>
      </c>
      <c r="E2" s="262">
        <f>D2+E12</f>
        <v>19833</v>
      </c>
      <c r="F2" s="262">
        <f>E2+F12</f>
        <v>19943</v>
      </c>
      <c r="G2" s="262">
        <f>F2</f>
        <v>19943</v>
      </c>
    </row>
    <row r="3" spans="1:17" ht="26" x14ac:dyDescent="0.3">
      <c r="A3" s="218" t="s">
        <v>255</v>
      </c>
      <c r="B3" s="247">
        <v>18000</v>
      </c>
      <c r="C3" s="247">
        <v>19000</v>
      </c>
      <c r="D3" s="247">
        <v>19000</v>
      </c>
      <c r="E3" s="247">
        <v>19000</v>
      </c>
      <c r="F3" s="247">
        <v>19000</v>
      </c>
      <c r="G3" s="247">
        <f>SUM(B3:F3)</f>
        <v>94000</v>
      </c>
    </row>
    <row r="4" spans="1:17" s="292" customFormat="1" ht="26" x14ac:dyDescent="0.3">
      <c r="A4" s="293" t="s">
        <v>203</v>
      </c>
      <c r="B4" s="294">
        <f>B6*B7</f>
        <v>18000</v>
      </c>
      <c r="C4" s="294">
        <f>C6*C7</f>
        <v>10000</v>
      </c>
      <c r="D4" s="294">
        <f>D6*D7</f>
        <v>14000</v>
      </c>
      <c r="E4" s="294">
        <f>E6*E7</f>
        <v>8000</v>
      </c>
      <c r="F4" s="294">
        <f>F6*F7</f>
        <v>18000</v>
      </c>
      <c r="G4" s="294">
        <f>SUM(B4:F4)</f>
        <v>68000</v>
      </c>
    </row>
    <row r="5" spans="1:17" s="292" customFormat="1" ht="26" x14ac:dyDescent="0.3">
      <c r="A5" s="290" t="s">
        <v>256</v>
      </c>
      <c r="B5" s="291">
        <f t="shared" ref="B5:C5" si="0">B4/B3</f>
        <v>1</v>
      </c>
      <c r="C5" s="291">
        <f t="shared" si="0"/>
        <v>0.52631578947368418</v>
      </c>
      <c r="D5" s="291">
        <f>D4/D3</f>
        <v>0.73684210526315785</v>
      </c>
      <c r="E5" s="291">
        <f t="shared" ref="E5:G5" si="1">E4/E3</f>
        <v>0.42105263157894735</v>
      </c>
      <c r="F5" s="291">
        <f t="shared" si="1"/>
        <v>0.94736842105263153</v>
      </c>
      <c r="G5" s="291">
        <f t="shared" si="1"/>
        <v>0.72340425531914898</v>
      </c>
    </row>
    <row r="6" spans="1:17" ht="26" x14ac:dyDescent="0.3">
      <c r="A6" s="249" t="s">
        <v>191</v>
      </c>
      <c r="B6" s="248">
        <v>1000</v>
      </c>
      <c r="C6" s="248">
        <v>2000</v>
      </c>
      <c r="D6" s="248">
        <v>2000</v>
      </c>
      <c r="E6" s="248">
        <v>2000</v>
      </c>
      <c r="F6" s="248">
        <v>2000</v>
      </c>
      <c r="G6" s="248">
        <f>AVERAGE(B6:F6)</f>
        <v>1800</v>
      </c>
    </row>
    <row r="7" spans="1:17" ht="26" x14ac:dyDescent="0.3">
      <c r="A7" s="228" t="s">
        <v>194</v>
      </c>
      <c r="B7" s="229">
        <v>18</v>
      </c>
      <c r="C7" s="229">
        <v>5</v>
      </c>
      <c r="D7" s="230">
        <v>7</v>
      </c>
      <c r="E7" s="229">
        <v>4</v>
      </c>
      <c r="F7" s="229">
        <v>9</v>
      </c>
      <c r="G7" s="231">
        <f t="shared" ref="G7:G14" si="2">SUM(B7:F7)</f>
        <v>43</v>
      </c>
    </row>
    <row r="8" spans="1:17" ht="26" x14ac:dyDescent="0.3">
      <c r="A8" s="228" t="s">
        <v>117</v>
      </c>
      <c r="B8" s="229">
        <v>18</v>
      </c>
      <c r="C8" s="229">
        <v>3</v>
      </c>
      <c r="D8" s="230">
        <v>4</v>
      </c>
      <c r="E8" s="229">
        <v>2</v>
      </c>
      <c r="F8" s="229">
        <v>4</v>
      </c>
      <c r="G8" s="231">
        <f t="shared" si="2"/>
        <v>31</v>
      </c>
    </row>
    <row r="9" spans="1:17" ht="26" x14ac:dyDescent="0.3">
      <c r="A9" s="228" t="s">
        <v>118</v>
      </c>
      <c r="B9" s="229">
        <v>0</v>
      </c>
      <c r="C9" s="229">
        <v>2</v>
      </c>
      <c r="D9" s="230">
        <v>3</v>
      </c>
      <c r="E9" s="229">
        <v>2</v>
      </c>
      <c r="F9" s="229">
        <v>5</v>
      </c>
      <c r="G9" s="231">
        <f t="shared" si="2"/>
        <v>12</v>
      </c>
    </row>
    <row r="10" spans="1:17" ht="26" x14ac:dyDescent="0.3">
      <c r="A10" s="220" t="s">
        <v>195</v>
      </c>
      <c r="B10" s="232">
        <f>B14*B3</f>
        <v>900</v>
      </c>
      <c r="C10" s="232">
        <f>C14*C3</f>
        <v>950</v>
      </c>
      <c r="D10" s="232">
        <f>D14*D3</f>
        <v>950</v>
      </c>
      <c r="E10" s="232">
        <f>E14*E3</f>
        <v>950</v>
      </c>
      <c r="F10" s="232">
        <f>F14*F3</f>
        <v>950</v>
      </c>
      <c r="G10" s="233">
        <f t="shared" si="2"/>
        <v>4700</v>
      </c>
    </row>
    <row r="11" spans="1:17" ht="26" x14ac:dyDescent="0.3">
      <c r="A11" s="239" t="s">
        <v>199</v>
      </c>
      <c r="B11" s="241">
        <v>800</v>
      </c>
      <c r="C11" s="241">
        <v>180</v>
      </c>
      <c r="D11" s="237">
        <v>260</v>
      </c>
      <c r="E11" s="241">
        <v>80</v>
      </c>
      <c r="F11" s="241">
        <v>160</v>
      </c>
      <c r="G11" s="238">
        <f t="shared" si="2"/>
        <v>1480</v>
      </c>
      <c r="J11" s="188"/>
      <c r="K11" s="188"/>
    </row>
    <row r="12" spans="1:17" ht="26" x14ac:dyDescent="0.3">
      <c r="A12" s="273" t="s">
        <v>197</v>
      </c>
      <c r="B12" s="274">
        <f>B11+B13</f>
        <v>800</v>
      </c>
      <c r="C12" s="274">
        <f>C11+C13</f>
        <v>160</v>
      </c>
      <c r="D12" s="274">
        <f>D11+D13</f>
        <v>230</v>
      </c>
      <c r="E12" s="274">
        <f>E11+E13</f>
        <v>60</v>
      </c>
      <c r="F12" s="274">
        <f>F11+F13</f>
        <v>110</v>
      </c>
      <c r="G12" s="275">
        <f>SUM(B12:F12)</f>
        <v>1360</v>
      </c>
      <c r="H12" s="188"/>
      <c r="I12" s="188"/>
      <c r="J12" s="188"/>
      <c r="K12" s="190"/>
    </row>
    <row r="13" spans="1:17" ht="26" x14ac:dyDescent="0.3">
      <c r="A13" s="228" t="s">
        <v>200</v>
      </c>
      <c r="B13" s="242">
        <v>0</v>
      </c>
      <c r="C13" s="242">
        <v>-20</v>
      </c>
      <c r="D13" s="243">
        <v>-30</v>
      </c>
      <c r="E13" s="242">
        <v>-20</v>
      </c>
      <c r="F13" s="242">
        <v>-50</v>
      </c>
      <c r="G13" s="244">
        <f t="shared" si="2"/>
        <v>-120</v>
      </c>
    </row>
    <row r="14" spans="1:17" ht="26" x14ac:dyDescent="0.3">
      <c r="A14" s="220" t="s">
        <v>196</v>
      </c>
      <c r="B14" s="234">
        <v>0.05</v>
      </c>
      <c r="C14" s="234">
        <v>0.05</v>
      </c>
      <c r="D14" s="234">
        <v>0.05</v>
      </c>
      <c r="E14" s="234">
        <v>0.05</v>
      </c>
      <c r="F14" s="234">
        <v>0.05</v>
      </c>
      <c r="G14" s="235">
        <f t="shared" si="2"/>
        <v>0.25</v>
      </c>
    </row>
    <row r="15" spans="1:17" ht="26" x14ac:dyDescent="0.3">
      <c r="A15" s="239" t="s">
        <v>201</v>
      </c>
      <c r="B15" s="245">
        <f>B11/B3</f>
        <v>4.4444444444444446E-2</v>
      </c>
      <c r="C15" s="245">
        <f>C11/C3</f>
        <v>9.4736842105263164E-3</v>
      </c>
      <c r="D15" s="245">
        <f>D11/D3</f>
        <v>1.368421052631579E-2</v>
      </c>
      <c r="E15" s="245">
        <f>E11/E3</f>
        <v>4.2105263157894736E-3</v>
      </c>
      <c r="F15" s="245">
        <f>F11/F3</f>
        <v>8.4210526315789472E-3</v>
      </c>
      <c r="G15" s="246">
        <f>AVERAGE(B15:F15)</f>
        <v>1.6046783625730993E-2</v>
      </c>
    </row>
    <row r="16" spans="1:17" ht="26" x14ac:dyDescent="0.3">
      <c r="A16" s="276" t="s">
        <v>198</v>
      </c>
      <c r="B16" s="277">
        <f>B12/B4</f>
        <v>4.4444444444444446E-2</v>
      </c>
      <c r="C16" s="277">
        <f>C12/C4</f>
        <v>1.6E-2</v>
      </c>
      <c r="D16" s="277">
        <f>D12/D4</f>
        <v>1.6428571428571428E-2</v>
      </c>
      <c r="E16" s="277">
        <f>E12/E4</f>
        <v>7.4999999999999997E-3</v>
      </c>
      <c r="F16" s="277">
        <f>F12/F4</f>
        <v>6.1111111111111114E-3</v>
      </c>
      <c r="G16" s="278">
        <f>SUM(B16:F16)</f>
        <v>9.0484126984126986E-2</v>
      </c>
      <c r="K16" s="188"/>
      <c r="L16" s="188"/>
      <c r="M16" s="188"/>
      <c r="N16" s="188"/>
      <c r="O16" s="188"/>
      <c r="P16" s="188"/>
      <c r="Q16" s="188"/>
    </row>
    <row r="17" spans="1:17" s="272" customFormat="1" ht="26" x14ac:dyDescent="0.3">
      <c r="A17" s="269" t="s">
        <v>202</v>
      </c>
      <c r="B17" s="270">
        <f>B13/B4</f>
        <v>0</v>
      </c>
      <c r="C17" s="270">
        <f>C13/C4</f>
        <v>-2E-3</v>
      </c>
      <c r="D17" s="270">
        <f>D13/D4</f>
        <v>-2.142857142857143E-3</v>
      </c>
      <c r="E17" s="270">
        <f>E13/E4</f>
        <v>-2.5000000000000001E-3</v>
      </c>
      <c r="F17" s="270">
        <f>F13/F4</f>
        <v>-2.7777777777777779E-3</v>
      </c>
      <c r="G17" s="271">
        <f>SUM(B17:F17)</f>
        <v>-9.4206349206349214E-3</v>
      </c>
    </row>
    <row r="18" spans="1:17" ht="26" x14ac:dyDescent="0.3">
      <c r="A18" s="239" t="s">
        <v>204</v>
      </c>
      <c r="B18" s="253">
        <f>(B12/B10)</f>
        <v>0.88888888888888884</v>
      </c>
      <c r="C18" s="253">
        <f>(C12/C10)</f>
        <v>0.16842105263157894</v>
      </c>
      <c r="D18" s="253">
        <f>(D12/D10)</f>
        <v>0.24210526315789474</v>
      </c>
      <c r="E18" s="253">
        <f>(E12/E10)</f>
        <v>6.3157894736842107E-2</v>
      </c>
      <c r="F18" s="253">
        <f>(F12/F10)</f>
        <v>0.11578947368421053</v>
      </c>
      <c r="G18" s="240">
        <f>AVERAGE(B18:F18)</f>
        <v>0.29567251461988303</v>
      </c>
      <c r="K18" s="188"/>
      <c r="L18" s="188"/>
      <c r="M18" s="188"/>
      <c r="N18" s="188"/>
      <c r="O18" s="188"/>
      <c r="P18" s="188"/>
      <c r="Q18" s="188"/>
    </row>
    <row r="19" spans="1:17" ht="26" x14ac:dyDescent="0.3">
      <c r="A19" s="222"/>
      <c r="B19" s="216"/>
      <c r="C19" s="216"/>
      <c r="D19" s="216"/>
      <c r="E19" s="216"/>
      <c r="F19" s="216"/>
      <c r="G19" s="217"/>
    </row>
    <row r="20" spans="1:17" ht="26" x14ac:dyDescent="0.3">
      <c r="A20" s="222"/>
      <c r="B20" s="216"/>
      <c r="C20" s="216"/>
      <c r="D20" s="216"/>
      <c r="E20" s="216"/>
      <c r="F20" s="216"/>
      <c r="G20" s="217"/>
    </row>
    <row r="21" spans="1:17" ht="26" x14ac:dyDescent="0.3">
      <c r="A21" s="284" t="s">
        <v>8</v>
      </c>
      <c r="B21" s="284"/>
      <c r="C21" s="284"/>
      <c r="D21" s="284"/>
      <c r="E21" s="284"/>
      <c r="F21" s="284"/>
      <c r="G21" s="284"/>
      <c r="H21" s="284"/>
      <c r="I21" s="284"/>
      <c r="J21" s="284"/>
      <c r="K21" s="210"/>
      <c r="L21" s="210"/>
    </row>
    <row r="22" spans="1:17" ht="26" x14ac:dyDescent="0.3">
      <c r="A22" s="223" t="s">
        <v>182</v>
      </c>
      <c r="B22" s="263" t="s">
        <v>1</v>
      </c>
      <c r="C22" s="185" t="s">
        <v>209</v>
      </c>
      <c r="D22" s="185" t="s">
        <v>210</v>
      </c>
      <c r="E22" s="185" t="s">
        <v>211</v>
      </c>
      <c r="F22" s="185" t="s">
        <v>212</v>
      </c>
      <c r="G22" s="185" t="s">
        <v>2</v>
      </c>
      <c r="H22" s="185" t="s">
        <v>213</v>
      </c>
      <c r="I22" s="190" t="s">
        <v>9</v>
      </c>
      <c r="J22" s="185" t="s">
        <v>7</v>
      </c>
    </row>
    <row r="23" spans="1:17" ht="26" x14ac:dyDescent="0.3">
      <c r="A23" s="223">
        <v>1</v>
      </c>
      <c r="B23" s="263" t="s">
        <v>239</v>
      </c>
      <c r="C23" s="285">
        <v>1000</v>
      </c>
      <c r="D23" s="191">
        <v>5.0000000000000001E-3</v>
      </c>
      <c r="E23" s="197">
        <v>0.03</v>
      </c>
      <c r="F23" s="191">
        <v>0.03</v>
      </c>
      <c r="G23" s="286">
        <v>30</v>
      </c>
      <c r="H23" s="191">
        <v>0</v>
      </c>
      <c r="I23" s="264">
        <v>0</v>
      </c>
      <c r="J23" s="265">
        <f>G23+I23</f>
        <v>30</v>
      </c>
    </row>
    <row r="24" spans="1:17" ht="26" x14ac:dyDescent="0.3">
      <c r="A24" s="223">
        <v>2</v>
      </c>
      <c r="B24" s="263" t="s">
        <v>240</v>
      </c>
      <c r="C24" s="285">
        <v>1000</v>
      </c>
      <c r="D24" s="191">
        <v>5.0000000000000001E-3</v>
      </c>
      <c r="E24" s="212">
        <v>0.05</v>
      </c>
      <c r="F24" s="289">
        <v>0.05</v>
      </c>
      <c r="G24" s="286">
        <v>50</v>
      </c>
      <c r="H24" s="191">
        <v>0</v>
      </c>
      <c r="I24" s="264">
        <v>0</v>
      </c>
      <c r="J24" s="265">
        <f>G24+I24</f>
        <v>50</v>
      </c>
    </row>
    <row r="25" spans="1:17" ht="26" x14ac:dyDescent="0.3">
      <c r="A25" s="223">
        <v>3</v>
      </c>
      <c r="B25" s="263" t="s">
        <v>241</v>
      </c>
      <c r="C25" s="285">
        <v>1000</v>
      </c>
      <c r="D25" s="191">
        <v>5.0000000000000001E-3</v>
      </c>
      <c r="E25" s="212">
        <v>0.05</v>
      </c>
      <c r="F25" s="289">
        <v>0.05</v>
      </c>
      <c r="G25" s="286">
        <v>50</v>
      </c>
      <c r="H25" s="191">
        <v>0</v>
      </c>
      <c r="I25" s="264">
        <v>0</v>
      </c>
      <c r="J25" s="265">
        <f>G25+I25</f>
        <v>50</v>
      </c>
    </row>
    <row r="26" spans="1:17" ht="26" x14ac:dyDescent="0.3">
      <c r="A26" s="223">
        <v>4</v>
      </c>
      <c r="B26" s="263" t="s">
        <v>217</v>
      </c>
      <c r="C26" s="285">
        <v>1000</v>
      </c>
      <c r="D26" s="191">
        <v>5.0000000000000001E-3</v>
      </c>
      <c r="E26" s="197">
        <v>0.03</v>
      </c>
      <c r="F26" s="191">
        <v>0.03</v>
      </c>
      <c r="G26" s="286">
        <v>30</v>
      </c>
      <c r="H26" s="191">
        <v>0</v>
      </c>
      <c r="I26" s="264">
        <v>0</v>
      </c>
      <c r="J26" s="265">
        <v>30</v>
      </c>
    </row>
    <row r="27" spans="1:17" ht="26" x14ac:dyDescent="0.3">
      <c r="A27" s="223">
        <v>5</v>
      </c>
      <c r="B27" s="263" t="s">
        <v>218</v>
      </c>
      <c r="C27" s="285">
        <v>1000</v>
      </c>
      <c r="D27" s="191">
        <v>5.0000000000000001E-3</v>
      </c>
      <c r="E27" s="197">
        <v>0.03</v>
      </c>
      <c r="F27" s="191">
        <v>0.03</v>
      </c>
      <c r="G27" s="286">
        <v>30</v>
      </c>
      <c r="H27" s="191">
        <v>0</v>
      </c>
      <c r="I27" s="264">
        <v>0</v>
      </c>
      <c r="J27" s="265">
        <v>30</v>
      </c>
    </row>
    <row r="28" spans="1:17" ht="26" x14ac:dyDescent="0.3">
      <c r="A28" s="223">
        <v>6</v>
      </c>
      <c r="B28" s="263" t="s">
        <v>219</v>
      </c>
      <c r="C28" s="285">
        <v>1000</v>
      </c>
      <c r="D28" s="191">
        <v>5.0000000000000001E-3</v>
      </c>
      <c r="E28" s="197">
        <v>0.03</v>
      </c>
      <c r="F28" s="191">
        <v>0.03</v>
      </c>
      <c r="G28" s="286">
        <v>30</v>
      </c>
      <c r="H28" s="191">
        <v>0</v>
      </c>
      <c r="I28" s="264">
        <v>0</v>
      </c>
      <c r="J28" s="265">
        <v>30</v>
      </c>
    </row>
    <row r="29" spans="1:17" ht="26" x14ac:dyDescent="0.3">
      <c r="A29" s="223">
        <v>7</v>
      </c>
      <c r="B29" s="263" t="s">
        <v>220</v>
      </c>
      <c r="C29" s="285">
        <v>1000</v>
      </c>
      <c r="D29" s="191">
        <v>5.0000000000000001E-3</v>
      </c>
      <c r="E29" s="197">
        <v>0.03</v>
      </c>
      <c r="F29" s="191">
        <v>0.03</v>
      </c>
      <c r="G29" s="286">
        <v>30</v>
      </c>
      <c r="H29" s="191">
        <v>0</v>
      </c>
      <c r="I29" s="264">
        <v>0</v>
      </c>
      <c r="J29" s="265">
        <v>30</v>
      </c>
    </row>
    <row r="30" spans="1:17" ht="26" x14ac:dyDescent="0.3">
      <c r="A30" s="223">
        <v>8</v>
      </c>
      <c r="B30" s="263" t="s">
        <v>242</v>
      </c>
      <c r="C30" s="285">
        <v>1000</v>
      </c>
      <c r="D30" s="191">
        <v>5.0000000000000001E-3</v>
      </c>
      <c r="E30" s="212">
        <v>0.05</v>
      </c>
      <c r="F30" s="289">
        <v>0.05</v>
      </c>
      <c r="G30" s="286">
        <v>50</v>
      </c>
      <c r="H30" s="191">
        <v>0</v>
      </c>
      <c r="I30" s="264">
        <v>0</v>
      </c>
      <c r="J30" s="265">
        <v>50</v>
      </c>
    </row>
    <row r="31" spans="1:17" ht="26" x14ac:dyDescent="0.3">
      <c r="A31" s="223">
        <v>9</v>
      </c>
      <c r="B31" s="263" t="s">
        <v>228</v>
      </c>
      <c r="C31" s="285">
        <v>1000</v>
      </c>
      <c r="D31" s="191">
        <v>5.0000000000000001E-3</v>
      </c>
      <c r="E31" s="212">
        <v>0.05</v>
      </c>
      <c r="F31" s="289">
        <v>0.05</v>
      </c>
      <c r="G31" s="286">
        <v>50</v>
      </c>
      <c r="H31" s="191">
        <v>0</v>
      </c>
      <c r="I31" s="264">
        <v>0</v>
      </c>
      <c r="J31" s="265">
        <v>50</v>
      </c>
    </row>
    <row r="32" spans="1:17" ht="26" x14ac:dyDescent="0.3">
      <c r="A32" s="223">
        <v>10</v>
      </c>
      <c r="B32" s="263" t="s">
        <v>248</v>
      </c>
      <c r="C32" s="285">
        <v>1000</v>
      </c>
      <c r="D32" s="191">
        <v>5.0000000000000001E-3</v>
      </c>
      <c r="E32" s="212">
        <v>0.05</v>
      </c>
      <c r="F32" s="289">
        <v>0.05</v>
      </c>
      <c r="G32" s="286">
        <v>50</v>
      </c>
      <c r="H32" s="191">
        <v>0</v>
      </c>
      <c r="I32" s="264">
        <v>0</v>
      </c>
      <c r="J32" s="265">
        <v>50</v>
      </c>
    </row>
    <row r="33" spans="1:12" ht="26" x14ac:dyDescent="0.3">
      <c r="A33" s="223">
        <v>11</v>
      </c>
      <c r="B33" s="263" t="s">
        <v>229</v>
      </c>
      <c r="C33" s="285">
        <v>1000</v>
      </c>
      <c r="D33" s="191">
        <v>5.0000000000000001E-3</v>
      </c>
      <c r="E33" s="212">
        <v>0.05</v>
      </c>
      <c r="F33" s="289">
        <v>0.05</v>
      </c>
      <c r="G33" s="286">
        <v>50</v>
      </c>
      <c r="H33" s="191">
        <v>0</v>
      </c>
      <c r="I33" s="264">
        <v>0</v>
      </c>
      <c r="J33" s="265">
        <v>50</v>
      </c>
    </row>
    <row r="34" spans="1:12" ht="26" x14ac:dyDescent="0.3">
      <c r="A34" s="223">
        <v>12</v>
      </c>
      <c r="B34" s="263" t="s">
        <v>252</v>
      </c>
      <c r="C34" s="285">
        <v>1000</v>
      </c>
      <c r="D34" s="191">
        <v>5.0000000000000001E-3</v>
      </c>
      <c r="E34" s="212">
        <v>0.05</v>
      </c>
      <c r="F34" s="289">
        <v>0.05</v>
      </c>
      <c r="G34" s="286">
        <v>50</v>
      </c>
      <c r="H34" s="191">
        <v>0</v>
      </c>
      <c r="I34" s="264">
        <v>0</v>
      </c>
      <c r="J34" s="265">
        <v>50</v>
      </c>
    </row>
    <row r="35" spans="1:12" ht="26" x14ac:dyDescent="0.3">
      <c r="A35" s="223">
        <v>13</v>
      </c>
      <c r="B35" s="263" t="s">
        <v>230</v>
      </c>
      <c r="C35" s="285">
        <v>1000</v>
      </c>
      <c r="D35" s="191">
        <v>5.0000000000000001E-3</v>
      </c>
      <c r="E35" s="212">
        <v>0.05</v>
      </c>
      <c r="F35" s="289">
        <v>0.05</v>
      </c>
      <c r="G35" s="286">
        <v>50</v>
      </c>
      <c r="H35" s="191">
        <v>0</v>
      </c>
      <c r="I35" s="264">
        <v>0</v>
      </c>
      <c r="J35" s="265">
        <v>50</v>
      </c>
    </row>
    <row r="36" spans="1:12" ht="26" x14ac:dyDescent="0.3">
      <c r="A36" s="223">
        <v>14</v>
      </c>
      <c r="B36" s="263" t="s">
        <v>244</v>
      </c>
      <c r="C36" s="285">
        <v>1000</v>
      </c>
      <c r="D36" s="191">
        <v>5.0000000000000001E-3</v>
      </c>
      <c r="E36" s="212">
        <v>0.05</v>
      </c>
      <c r="F36" s="289">
        <v>0.05</v>
      </c>
      <c r="G36" s="286">
        <v>50</v>
      </c>
      <c r="H36" s="191">
        <v>0</v>
      </c>
      <c r="I36" s="264">
        <v>0</v>
      </c>
      <c r="J36" s="265">
        <v>50</v>
      </c>
    </row>
    <row r="37" spans="1:12" ht="26" x14ac:dyDescent="0.3">
      <c r="A37" s="223">
        <v>15</v>
      </c>
      <c r="B37" s="263" t="s">
        <v>254</v>
      </c>
      <c r="C37" s="285">
        <v>1000</v>
      </c>
      <c r="D37" s="191">
        <v>5.0000000000000001E-3</v>
      </c>
      <c r="E37" s="212">
        <v>0.05</v>
      </c>
      <c r="F37" s="289">
        <v>0.05</v>
      </c>
      <c r="G37" s="286">
        <v>50</v>
      </c>
      <c r="H37" s="191">
        <v>0</v>
      </c>
      <c r="I37" s="264">
        <v>0</v>
      </c>
      <c r="J37" s="265">
        <v>50</v>
      </c>
      <c r="K37" s="190"/>
    </row>
    <row r="38" spans="1:12" ht="26" x14ac:dyDescent="0.3">
      <c r="A38" s="223">
        <v>16</v>
      </c>
      <c r="B38" s="263" t="s">
        <v>253</v>
      </c>
      <c r="C38" s="285">
        <v>1000</v>
      </c>
      <c r="D38" s="191">
        <v>5.0000000000000001E-3</v>
      </c>
      <c r="E38" s="212">
        <v>0.05</v>
      </c>
      <c r="F38" s="289">
        <v>0.05</v>
      </c>
      <c r="G38" s="286">
        <v>50</v>
      </c>
      <c r="H38" s="191">
        <v>0</v>
      </c>
      <c r="I38" s="264">
        <v>0</v>
      </c>
      <c r="J38" s="265">
        <v>50</v>
      </c>
      <c r="K38" s="190"/>
    </row>
    <row r="39" spans="1:12" ht="26" x14ac:dyDescent="0.3">
      <c r="A39" s="223">
        <v>17</v>
      </c>
      <c r="B39" s="263" t="s">
        <v>241</v>
      </c>
      <c r="C39" s="285">
        <v>1000</v>
      </c>
      <c r="D39" s="191">
        <v>5.0000000000000001E-3</v>
      </c>
      <c r="E39" s="212">
        <v>0.05</v>
      </c>
      <c r="F39" s="289">
        <v>0.05</v>
      </c>
      <c r="G39" s="286">
        <v>50</v>
      </c>
      <c r="H39" s="191">
        <v>0</v>
      </c>
      <c r="I39" s="264">
        <v>0</v>
      </c>
      <c r="J39" s="265">
        <v>50</v>
      </c>
      <c r="K39" s="190"/>
    </row>
    <row r="40" spans="1:12" ht="26" x14ac:dyDescent="0.3">
      <c r="A40" s="223">
        <v>18</v>
      </c>
      <c r="B40" s="263" t="s">
        <v>232</v>
      </c>
      <c r="C40" s="285">
        <v>1000</v>
      </c>
      <c r="D40" s="191">
        <v>5.0000000000000001E-3</v>
      </c>
      <c r="E40" s="212">
        <v>0.05</v>
      </c>
      <c r="F40" s="289">
        <v>0.05</v>
      </c>
      <c r="G40" s="286">
        <v>50</v>
      </c>
      <c r="H40" s="191">
        <v>0</v>
      </c>
      <c r="I40" s="264">
        <v>0</v>
      </c>
      <c r="J40" s="265">
        <v>50</v>
      </c>
      <c r="K40" s="190"/>
    </row>
    <row r="41" spans="1:12" ht="26" x14ac:dyDescent="0.3">
      <c r="B41" s="263"/>
      <c r="C41" s="188"/>
      <c r="D41" s="191"/>
      <c r="E41" s="197"/>
      <c r="F41" s="191"/>
      <c r="G41" s="188"/>
      <c r="H41" s="191"/>
      <c r="I41" s="264"/>
      <c r="J41" s="265"/>
      <c r="K41" s="190"/>
    </row>
    <row r="42" spans="1:12" ht="26" x14ac:dyDescent="0.3">
      <c r="A42" s="223" t="s">
        <v>184</v>
      </c>
      <c r="B42" s="263"/>
      <c r="C42" s="188">
        <f>SUM(C23:C40)</f>
        <v>18000</v>
      </c>
      <c r="D42" s="188"/>
      <c r="E42" s="188"/>
      <c r="F42" s="188"/>
      <c r="G42" s="188">
        <f>SUM(G23:G40)</f>
        <v>800</v>
      </c>
      <c r="H42" s="266">
        <f>SUM(H23:H40)</f>
        <v>0</v>
      </c>
      <c r="I42" s="188">
        <f>SUM(I23:I40)</f>
        <v>0</v>
      </c>
      <c r="J42" s="188">
        <f>SUM(J23:J40)</f>
        <v>800</v>
      </c>
      <c r="K42" s="190"/>
      <c r="L42" s="188"/>
    </row>
    <row r="43" spans="1:12" ht="26" x14ac:dyDescent="0.3">
      <c r="B43" s="263"/>
      <c r="C43" s="188"/>
      <c r="F43" s="191"/>
      <c r="G43" s="188"/>
      <c r="H43" s="191"/>
      <c r="I43" s="188"/>
      <c r="J43" s="196"/>
      <c r="K43" s="190"/>
      <c r="L43" s="188"/>
    </row>
    <row r="44" spans="1:12" ht="26" x14ac:dyDescent="0.3">
      <c r="A44" s="223" t="s">
        <v>190</v>
      </c>
      <c r="B44" s="263"/>
      <c r="C44" s="188">
        <f>AVERAGE(C23:C40)</f>
        <v>1000</v>
      </c>
      <c r="D44" s="205">
        <f>AVERAGE(D23:D40)</f>
        <v>5.000000000000001E-3</v>
      </c>
      <c r="E44" s="205">
        <f>AVERAGE(E23:E40)</f>
        <v>4.4444444444444453E-2</v>
      </c>
      <c r="F44" s="205">
        <f>AVERAGE(F23:F40)</f>
        <v>4.4444444444444453E-2</v>
      </c>
      <c r="G44" s="204">
        <f>AVERAGE(G23:G40)</f>
        <v>44.444444444444443</v>
      </c>
      <c r="H44" s="205">
        <f>AVERAGE(H23:H40)</f>
        <v>0</v>
      </c>
      <c r="I44" s="188">
        <f>AVERAGE(I23:I40)</f>
        <v>0</v>
      </c>
      <c r="J44" s="188">
        <f>AVERAGE(J23:J40)</f>
        <v>44.444444444444443</v>
      </c>
      <c r="K44" s="190"/>
      <c r="L44" s="188"/>
    </row>
    <row r="45" spans="1:12" ht="26" x14ac:dyDescent="0.3">
      <c r="B45" s="263"/>
      <c r="C45" s="188"/>
      <c r="F45" s="191"/>
      <c r="G45" s="188"/>
      <c r="H45" s="191"/>
      <c r="I45" s="188"/>
      <c r="J45" s="196"/>
      <c r="K45" s="190"/>
      <c r="L45" s="188"/>
    </row>
    <row r="46" spans="1:12" ht="26" x14ac:dyDescent="0.3">
      <c r="B46" s="263"/>
      <c r="C46" s="188"/>
      <c r="F46" s="191"/>
      <c r="G46" s="188"/>
      <c r="H46" s="191"/>
      <c r="I46" s="188"/>
      <c r="J46" s="196"/>
      <c r="K46" s="190"/>
      <c r="L46" s="188"/>
    </row>
    <row r="47" spans="1:12" ht="26" x14ac:dyDescent="0.3">
      <c r="A47" s="284" t="s">
        <v>29</v>
      </c>
      <c r="B47" s="284"/>
      <c r="C47" s="284"/>
      <c r="D47" s="284"/>
      <c r="E47" s="284"/>
      <c r="F47" s="284"/>
      <c r="G47" s="284"/>
      <c r="H47" s="284"/>
      <c r="I47" s="284"/>
      <c r="J47" s="284"/>
      <c r="K47" s="284"/>
      <c r="L47" s="284"/>
    </row>
    <row r="48" spans="1:12" ht="26" x14ac:dyDescent="0.3">
      <c r="A48" s="223" t="s">
        <v>182</v>
      </c>
      <c r="B48" s="263" t="s">
        <v>1</v>
      </c>
      <c r="C48" s="185" t="s">
        <v>209</v>
      </c>
      <c r="D48" s="185" t="s">
        <v>210</v>
      </c>
      <c r="E48" s="185" t="s">
        <v>211</v>
      </c>
      <c r="F48" s="185" t="s">
        <v>212</v>
      </c>
      <c r="G48" s="185" t="s">
        <v>2</v>
      </c>
      <c r="H48" s="185" t="s">
        <v>213</v>
      </c>
      <c r="I48" s="190" t="s">
        <v>9</v>
      </c>
      <c r="J48" s="185" t="s">
        <v>7</v>
      </c>
    </row>
    <row r="49" spans="1:10" ht="26" x14ac:dyDescent="0.3">
      <c r="A49" s="223">
        <v>1</v>
      </c>
      <c r="B49" s="263" t="s">
        <v>242</v>
      </c>
      <c r="C49" s="285">
        <v>2000</v>
      </c>
      <c r="D49" s="191">
        <v>5.0000000000000001E-3</v>
      </c>
      <c r="E49" s="197">
        <v>0.03</v>
      </c>
      <c r="F49" s="191">
        <v>0.03</v>
      </c>
      <c r="G49" s="286">
        <v>60</v>
      </c>
      <c r="H49" s="191">
        <v>0</v>
      </c>
      <c r="I49" s="213">
        <v>0</v>
      </c>
      <c r="J49" s="265">
        <v>60</v>
      </c>
    </row>
    <row r="50" spans="1:10" ht="26" x14ac:dyDescent="0.3">
      <c r="A50" s="223">
        <v>2</v>
      </c>
      <c r="B50" s="263" t="s">
        <v>243</v>
      </c>
      <c r="C50" s="285">
        <v>2000</v>
      </c>
      <c r="D50" s="191">
        <v>5.0000000000000001E-3</v>
      </c>
      <c r="E50" s="197">
        <v>0.03</v>
      </c>
      <c r="F50" s="191">
        <v>0.03</v>
      </c>
      <c r="G50" s="286">
        <v>60</v>
      </c>
      <c r="H50" s="191">
        <v>0</v>
      </c>
      <c r="I50" s="213">
        <v>0</v>
      </c>
      <c r="J50" s="265">
        <v>60</v>
      </c>
    </row>
    <row r="51" spans="1:10" ht="26" x14ac:dyDescent="0.3">
      <c r="A51" s="223">
        <v>3</v>
      </c>
      <c r="B51" s="263" t="s">
        <v>244</v>
      </c>
      <c r="C51" s="285">
        <v>2000</v>
      </c>
      <c r="D51" s="191">
        <v>5.0000000000000001E-3</v>
      </c>
      <c r="E51" s="197">
        <v>0.03</v>
      </c>
      <c r="F51" s="191">
        <v>0.03</v>
      </c>
      <c r="G51" s="286">
        <v>60</v>
      </c>
      <c r="H51" s="191">
        <v>0</v>
      </c>
      <c r="I51" s="213">
        <v>0</v>
      </c>
      <c r="J51" s="265">
        <v>60</v>
      </c>
    </row>
    <row r="52" spans="1:10" ht="26" x14ac:dyDescent="0.3">
      <c r="A52" s="223">
        <v>4</v>
      </c>
      <c r="B52" s="263" t="s">
        <v>245</v>
      </c>
      <c r="C52" s="285">
        <v>2000</v>
      </c>
      <c r="D52" s="191">
        <v>5.0000000000000001E-3</v>
      </c>
      <c r="E52" s="197">
        <v>0.03</v>
      </c>
      <c r="F52" s="191">
        <v>0</v>
      </c>
      <c r="G52" s="286">
        <v>-10</v>
      </c>
      <c r="H52" s="191">
        <v>-5.0000000000000001E-3</v>
      </c>
      <c r="I52" s="264">
        <v>-10</v>
      </c>
      <c r="J52" s="265">
        <v>-10</v>
      </c>
    </row>
    <row r="53" spans="1:10" ht="26" x14ac:dyDescent="0.3">
      <c r="A53" s="223">
        <v>5</v>
      </c>
      <c r="B53" s="263" t="s">
        <v>246</v>
      </c>
      <c r="C53" s="285">
        <v>2000</v>
      </c>
      <c r="D53" s="191">
        <v>5.0000000000000001E-3</v>
      </c>
      <c r="E53" s="197">
        <v>0.03</v>
      </c>
      <c r="F53" s="191">
        <v>0</v>
      </c>
      <c r="G53" s="286">
        <v>-10</v>
      </c>
      <c r="H53" s="191">
        <v>-5.0000000000000001E-3</v>
      </c>
      <c r="I53" s="264">
        <v>-10</v>
      </c>
      <c r="J53" s="265">
        <v>-10</v>
      </c>
    </row>
    <row r="54" spans="1:10" ht="26" x14ac:dyDescent="0.3">
      <c r="B54" s="263"/>
      <c r="C54" s="188"/>
      <c r="D54" s="191"/>
      <c r="E54" s="197"/>
      <c r="F54" s="191"/>
      <c r="G54" s="188"/>
      <c r="H54" s="191"/>
      <c r="I54" s="190"/>
      <c r="J54" s="211"/>
    </row>
    <row r="55" spans="1:10" ht="26" x14ac:dyDescent="0.3">
      <c r="A55" s="223" t="s">
        <v>184</v>
      </c>
      <c r="C55" s="188">
        <f>SUM(C49:C53)</f>
        <v>10000</v>
      </c>
      <c r="E55" s="197"/>
      <c r="F55" s="191"/>
      <c r="G55" s="188">
        <f>SUM(G49:G53)</f>
        <v>160</v>
      </c>
      <c r="H55" s="191">
        <f>SUM(H49:H53)</f>
        <v>-0.01</v>
      </c>
      <c r="J55" s="198">
        <f>SUM(J49:J53)</f>
        <v>160</v>
      </c>
    </row>
    <row r="56" spans="1:10" ht="26" x14ac:dyDescent="0.3">
      <c r="A56" s="223" t="s">
        <v>190</v>
      </c>
      <c r="C56" s="188">
        <f>AVERAGE(C49:C53)</f>
        <v>2000</v>
      </c>
      <c r="D56" s="205">
        <f>AVERAGE(D49:D53)</f>
        <v>5.0000000000000001E-3</v>
      </c>
      <c r="E56" s="205">
        <f>AVERAGE(E49:E53)</f>
        <v>0.03</v>
      </c>
      <c r="F56" s="208">
        <f>AVERAGE(F49:F53)</f>
        <v>1.7999999999999999E-2</v>
      </c>
      <c r="G56" s="188">
        <f>AVERAGE(G49:G53)</f>
        <v>32</v>
      </c>
      <c r="H56" s="209">
        <f>AVERAGE(H49:H53)</f>
        <v>-2E-3</v>
      </c>
      <c r="I56" s="188">
        <f>AVERAGE(I49:I53)</f>
        <v>-4</v>
      </c>
      <c r="J56" s="188">
        <f>AVERAGE(J49:J53)</f>
        <v>32</v>
      </c>
    </row>
    <row r="57" spans="1:10" ht="26" x14ac:dyDescent="0.3">
      <c r="C57" s="188"/>
      <c r="D57" s="188"/>
      <c r="E57" s="188"/>
      <c r="F57" s="188"/>
      <c r="G57" s="188"/>
      <c r="H57" s="188"/>
      <c r="I57" s="188"/>
      <c r="J57" s="188"/>
    </row>
    <row r="58" spans="1:10" ht="26" x14ac:dyDescent="0.3">
      <c r="C58" s="188"/>
      <c r="D58" s="188"/>
      <c r="E58" s="188"/>
      <c r="F58" s="188"/>
      <c r="G58" s="188"/>
      <c r="H58" s="188"/>
      <c r="I58" s="188"/>
      <c r="J58" s="188"/>
    </row>
    <row r="59" spans="1:10" ht="26" x14ac:dyDescent="0.3">
      <c r="A59" s="284" t="s">
        <v>40</v>
      </c>
      <c r="B59" s="284"/>
      <c r="C59" s="284"/>
      <c r="D59" s="284"/>
      <c r="E59" s="284"/>
      <c r="F59" s="284"/>
      <c r="G59" s="284"/>
      <c r="H59" s="284"/>
      <c r="I59" s="284"/>
      <c r="J59" s="284"/>
    </row>
    <row r="60" spans="1:10" ht="26" x14ac:dyDescent="0.3">
      <c r="A60" s="224" t="s">
        <v>182</v>
      </c>
      <c r="B60" s="194" t="s">
        <v>1</v>
      </c>
      <c r="C60" s="193" t="s">
        <v>209</v>
      </c>
      <c r="D60" s="193" t="s">
        <v>210</v>
      </c>
      <c r="E60" s="193" t="s">
        <v>211</v>
      </c>
      <c r="F60" s="193" t="s">
        <v>212</v>
      </c>
      <c r="G60" s="193" t="s">
        <v>2</v>
      </c>
      <c r="H60" s="193" t="s">
        <v>213</v>
      </c>
      <c r="I60" s="195" t="s">
        <v>9</v>
      </c>
      <c r="J60" s="193" t="s">
        <v>7</v>
      </c>
    </row>
    <row r="61" spans="1:10" ht="26" x14ac:dyDescent="0.3">
      <c r="A61" s="224">
        <v>1</v>
      </c>
      <c r="B61" s="194" t="s">
        <v>248</v>
      </c>
      <c r="C61" s="287">
        <v>2000</v>
      </c>
      <c r="D61" s="201">
        <v>5.0000000000000001E-3</v>
      </c>
      <c r="E61" s="212">
        <v>0.05</v>
      </c>
      <c r="F61" s="289">
        <v>0.05</v>
      </c>
      <c r="G61" s="288">
        <v>100</v>
      </c>
      <c r="H61" s="201">
        <v>0</v>
      </c>
      <c r="I61" s="267">
        <v>0</v>
      </c>
      <c r="J61" s="203">
        <v>100</v>
      </c>
    </row>
    <row r="62" spans="1:10" ht="26" x14ac:dyDescent="0.3">
      <c r="A62" s="224">
        <v>2</v>
      </c>
      <c r="B62" s="194" t="s">
        <v>249</v>
      </c>
      <c r="C62" s="287">
        <v>2000</v>
      </c>
      <c r="D62" s="201">
        <v>5.0000000000000001E-3</v>
      </c>
      <c r="E62" s="197">
        <v>0.03</v>
      </c>
      <c r="F62" s="201">
        <v>0.03</v>
      </c>
      <c r="G62" s="288">
        <v>60</v>
      </c>
      <c r="H62" s="201">
        <v>0</v>
      </c>
      <c r="I62" s="267">
        <v>0</v>
      </c>
      <c r="J62" s="200">
        <v>60</v>
      </c>
    </row>
    <row r="63" spans="1:10" ht="26" x14ac:dyDescent="0.3">
      <c r="A63" s="224">
        <v>3</v>
      </c>
      <c r="B63" s="194" t="s">
        <v>250</v>
      </c>
      <c r="C63" s="287">
        <v>2000</v>
      </c>
      <c r="D63" s="201">
        <v>5.0000000000000001E-3</v>
      </c>
      <c r="E63" s="197">
        <v>0.03</v>
      </c>
      <c r="F63" s="201">
        <v>0.03</v>
      </c>
      <c r="G63" s="288">
        <v>60</v>
      </c>
      <c r="H63" s="201">
        <v>0</v>
      </c>
      <c r="I63" s="267">
        <v>0</v>
      </c>
      <c r="J63" s="200">
        <v>60</v>
      </c>
    </row>
    <row r="64" spans="1:10" ht="26" x14ac:dyDescent="0.3">
      <c r="A64" s="224">
        <v>4</v>
      </c>
      <c r="B64" s="194" t="s">
        <v>233</v>
      </c>
      <c r="C64" s="287">
        <v>2000</v>
      </c>
      <c r="D64" s="201">
        <v>5.0000000000000001E-3</v>
      </c>
      <c r="E64" s="197">
        <v>0.02</v>
      </c>
      <c r="F64" s="201">
        <v>0.02</v>
      </c>
      <c r="G64" s="288">
        <v>40</v>
      </c>
      <c r="H64" s="201">
        <v>0</v>
      </c>
      <c r="I64" s="267">
        <v>0</v>
      </c>
      <c r="J64" s="200">
        <v>40</v>
      </c>
    </row>
    <row r="65" spans="1:10" ht="26" x14ac:dyDescent="0.3">
      <c r="A65" s="224">
        <v>5</v>
      </c>
      <c r="B65" s="194" t="s">
        <v>247</v>
      </c>
      <c r="C65" s="287">
        <v>2000</v>
      </c>
      <c r="D65" s="201">
        <v>5.0000000000000001E-3</v>
      </c>
      <c r="E65" s="197">
        <v>0.02</v>
      </c>
      <c r="F65" s="201">
        <v>0</v>
      </c>
      <c r="G65" s="288">
        <v>-10</v>
      </c>
      <c r="H65" s="201">
        <v>-5.0000000000000001E-3</v>
      </c>
      <c r="I65" s="200">
        <v>-10</v>
      </c>
      <c r="J65" s="203">
        <v>-10</v>
      </c>
    </row>
    <row r="66" spans="1:10" ht="26" x14ac:dyDescent="0.3">
      <c r="A66" s="224">
        <v>6</v>
      </c>
      <c r="B66" s="194" t="s">
        <v>224</v>
      </c>
      <c r="C66" s="287">
        <v>2000</v>
      </c>
      <c r="D66" s="201">
        <v>5.0000000000000001E-3</v>
      </c>
      <c r="E66" s="197">
        <v>0.03</v>
      </c>
      <c r="F66" s="201">
        <v>0</v>
      </c>
      <c r="G66" s="288">
        <v>-10</v>
      </c>
      <c r="H66" s="201">
        <v>-5.0000000000000001E-3</v>
      </c>
      <c r="I66" s="200">
        <v>-10</v>
      </c>
      <c r="J66" s="203">
        <v>-10</v>
      </c>
    </row>
    <row r="67" spans="1:10" ht="26" x14ac:dyDescent="0.3">
      <c r="A67" s="224">
        <v>7</v>
      </c>
      <c r="B67" s="194" t="s">
        <v>231</v>
      </c>
      <c r="C67" s="287">
        <v>2000</v>
      </c>
      <c r="D67" s="201">
        <v>5.0000000000000001E-3</v>
      </c>
      <c r="E67" s="212">
        <v>0.05</v>
      </c>
      <c r="F67" s="201">
        <v>0</v>
      </c>
      <c r="G67" s="288">
        <v>-10</v>
      </c>
      <c r="H67" s="201">
        <v>-5.0000000000000001E-3</v>
      </c>
      <c r="I67" s="200">
        <v>-10</v>
      </c>
      <c r="J67" s="203">
        <v>-10</v>
      </c>
    </row>
    <row r="68" spans="1:10" ht="26" x14ac:dyDescent="0.3">
      <c r="A68" s="224"/>
      <c r="B68" s="194"/>
      <c r="C68" s="287"/>
      <c r="D68" s="201"/>
      <c r="E68" s="197"/>
      <c r="F68" s="201"/>
      <c r="G68" s="288"/>
      <c r="H68" s="201"/>
      <c r="I68" s="267"/>
      <c r="J68" s="203"/>
    </row>
    <row r="69" spans="1:10" ht="26" x14ac:dyDescent="0.3">
      <c r="A69" s="223" t="s">
        <v>184</v>
      </c>
      <c r="C69" s="188">
        <f>SUM(C61:C67)</f>
        <v>14000</v>
      </c>
      <c r="D69" s="188"/>
      <c r="E69" s="188"/>
      <c r="F69" s="266"/>
      <c r="G69" s="188">
        <f>SUM(G61:G67)</f>
        <v>230</v>
      </c>
      <c r="H69" s="205">
        <f>SUM(H61:H67)</f>
        <v>-1.4999999999999999E-2</v>
      </c>
      <c r="I69" s="188">
        <f>SUM(I61:I67)</f>
        <v>-30</v>
      </c>
      <c r="J69" s="188">
        <f>SUM(J61:J67)</f>
        <v>230</v>
      </c>
    </row>
    <row r="70" spans="1:10" ht="26" x14ac:dyDescent="0.3">
      <c r="A70" s="223" t="s">
        <v>190</v>
      </c>
      <c r="C70" s="188">
        <f>AVERAGE(C61:C67)</f>
        <v>2000</v>
      </c>
      <c r="D70" s="205">
        <f>AVERAGE(D61:D67)</f>
        <v>5.0000000000000001E-3</v>
      </c>
      <c r="E70" s="205">
        <f>AVERAGE(E61:E67)</f>
        <v>3.2857142857142856E-2</v>
      </c>
      <c r="F70" s="205">
        <f>AVERAGE(F61:F67)</f>
        <v>1.8571428571428572E-2</v>
      </c>
      <c r="G70" s="188">
        <f>AVERAGE(G61:G67)</f>
        <v>32.857142857142854</v>
      </c>
      <c r="H70" s="205">
        <f>AVERAGE(H61:H67)</f>
        <v>-2.142857142857143E-3</v>
      </c>
      <c r="I70" s="188">
        <f>AVERAGE(I61:I67)</f>
        <v>-4.2857142857142856</v>
      </c>
      <c r="J70" s="188">
        <f>AVERAGE(J61:J67)</f>
        <v>32.857142857142854</v>
      </c>
    </row>
    <row r="71" spans="1:10" ht="26" x14ac:dyDescent="0.3">
      <c r="C71" s="188"/>
      <c r="D71" s="205"/>
      <c r="E71" s="205"/>
      <c r="F71" s="205"/>
      <c r="G71" s="204"/>
      <c r="H71" s="205"/>
      <c r="I71" s="188"/>
      <c r="J71" s="188"/>
    </row>
    <row r="72" spans="1:10" ht="26" x14ac:dyDescent="0.3">
      <c r="C72" s="188"/>
      <c r="D72" s="205"/>
      <c r="E72" s="205"/>
      <c r="F72" s="205"/>
      <c r="G72" s="204"/>
      <c r="H72" s="205"/>
      <c r="I72" s="188"/>
      <c r="J72" s="188"/>
    </row>
    <row r="73" spans="1:10" ht="26" x14ac:dyDescent="0.3">
      <c r="A73" s="284" t="s">
        <v>41</v>
      </c>
      <c r="B73" s="284"/>
      <c r="C73" s="284"/>
      <c r="D73" s="284"/>
      <c r="E73" s="284"/>
      <c r="F73" s="284"/>
      <c r="G73" s="284"/>
      <c r="H73" s="284"/>
      <c r="I73" s="284"/>
      <c r="J73" s="284"/>
    </row>
    <row r="74" spans="1:10" ht="26" x14ac:dyDescent="0.3">
      <c r="A74" s="224" t="s">
        <v>182</v>
      </c>
      <c r="B74" s="194" t="s">
        <v>1</v>
      </c>
      <c r="C74" s="193" t="s">
        <v>209</v>
      </c>
      <c r="D74" s="193" t="s">
        <v>210</v>
      </c>
      <c r="E74" s="193" t="s">
        <v>211</v>
      </c>
      <c r="F74" s="193" t="s">
        <v>212</v>
      </c>
      <c r="G74" s="193" t="s">
        <v>2</v>
      </c>
      <c r="H74" s="193" t="s">
        <v>213</v>
      </c>
      <c r="I74" s="195" t="s">
        <v>9</v>
      </c>
      <c r="J74" s="193" t="s">
        <v>7</v>
      </c>
    </row>
    <row r="75" spans="1:10" ht="26" x14ac:dyDescent="0.3">
      <c r="A75" s="224">
        <v>1</v>
      </c>
      <c r="B75" s="194" t="s">
        <v>219</v>
      </c>
      <c r="C75" s="287">
        <v>2000</v>
      </c>
      <c r="D75" s="201">
        <v>5.0000000000000001E-3</v>
      </c>
      <c r="E75" s="202">
        <v>0.02</v>
      </c>
      <c r="F75" s="201">
        <v>0.02</v>
      </c>
      <c r="G75" s="288">
        <v>40</v>
      </c>
      <c r="H75" s="201">
        <v>5.0000000000000001E-3</v>
      </c>
      <c r="I75" s="200">
        <v>0</v>
      </c>
      <c r="J75" s="200">
        <v>40</v>
      </c>
    </row>
    <row r="76" spans="1:10" ht="26" x14ac:dyDescent="0.3">
      <c r="A76" s="224">
        <v>2</v>
      </c>
      <c r="B76" s="194" t="s">
        <v>232</v>
      </c>
      <c r="C76" s="287">
        <v>2000</v>
      </c>
      <c r="D76" s="201">
        <v>5.0000000000000001E-3</v>
      </c>
      <c r="E76" s="202">
        <v>0.02</v>
      </c>
      <c r="F76" s="201">
        <v>0.02</v>
      </c>
      <c r="G76" s="288">
        <v>40</v>
      </c>
      <c r="H76" s="201">
        <v>5.0000000000000001E-3</v>
      </c>
      <c r="I76" s="200">
        <v>0</v>
      </c>
      <c r="J76" s="200">
        <v>40</v>
      </c>
    </row>
    <row r="77" spans="1:10" ht="26" x14ac:dyDescent="0.3">
      <c r="A77" s="224">
        <v>3</v>
      </c>
      <c r="B77" s="194" t="s">
        <v>251</v>
      </c>
      <c r="C77" s="287">
        <v>2000</v>
      </c>
      <c r="D77" s="201">
        <v>5.0000000000000001E-3</v>
      </c>
      <c r="E77" s="202">
        <v>0.02</v>
      </c>
      <c r="F77" s="201">
        <v>0</v>
      </c>
      <c r="G77" s="288">
        <v>-10</v>
      </c>
      <c r="H77" s="201">
        <v>-5.0000000000000001E-3</v>
      </c>
      <c r="I77" s="200">
        <v>-10</v>
      </c>
      <c r="J77" s="200">
        <v>-10</v>
      </c>
    </row>
    <row r="78" spans="1:10" ht="26" x14ac:dyDescent="0.3">
      <c r="A78" s="224">
        <v>4</v>
      </c>
      <c r="B78" s="194" t="s">
        <v>242</v>
      </c>
      <c r="C78" s="287">
        <v>2000</v>
      </c>
      <c r="D78" s="201">
        <v>5.0000000000000001E-3</v>
      </c>
      <c r="E78" s="202">
        <v>0.02</v>
      </c>
      <c r="F78" s="201">
        <v>0</v>
      </c>
      <c r="G78" s="288">
        <v>-10</v>
      </c>
      <c r="H78" s="201">
        <v>-5.0000000000000001E-3</v>
      </c>
      <c r="I78" s="200">
        <v>-10</v>
      </c>
      <c r="J78" s="200">
        <v>-10</v>
      </c>
    </row>
    <row r="79" spans="1:10" ht="26" x14ac:dyDescent="0.3">
      <c r="A79" s="224"/>
      <c r="B79" s="194"/>
      <c r="C79" s="200"/>
      <c r="D79" s="201"/>
      <c r="E79" s="202"/>
      <c r="F79" s="201"/>
      <c r="G79" s="200"/>
      <c r="H79" s="201"/>
      <c r="I79" s="195"/>
      <c r="J79" s="203"/>
    </row>
    <row r="80" spans="1:10" ht="26" x14ac:dyDescent="0.3">
      <c r="A80" s="224" t="s">
        <v>184</v>
      </c>
      <c r="B80" s="194"/>
      <c r="C80" s="200">
        <f>SUM(C75:C78)</f>
        <v>8000</v>
      </c>
      <c r="D80" s="201"/>
      <c r="E80" s="202"/>
      <c r="F80" s="201">
        <f>SUM(F75:F78)</f>
        <v>0.04</v>
      </c>
      <c r="G80" s="200">
        <f>SUM(G75:G78)</f>
        <v>60</v>
      </c>
      <c r="H80" s="201">
        <f>SUM(H75:H78)</f>
        <v>0</v>
      </c>
      <c r="I80" s="203">
        <f>SUM(I75:I78)</f>
        <v>-20</v>
      </c>
      <c r="J80" s="203">
        <f>SUM(J75:J78)</f>
        <v>60</v>
      </c>
    </row>
    <row r="81" spans="1:10" ht="26" x14ac:dyDescent="0.3">
      <c r="A81" s="223" t="s">
        <v>190</v>
      </c>
      <c r="C81" s="188">
        <f>AVERAGE(C75:C78)</f>
        <v>2000</v>
      </c>
      <c r="D81" s="205">
        <f>AVERAGE(D75:D78)</f>
        <v>5.0000000000000001E-3</v>
      </c>
      <c r="E81" s="205">
        <f>AVERAGE(E75:E78)</f>
        <v>0.02</v>
      </c>
      <c r="F81" s="205">
        <f t="shared" ref="F81:J81" si="3">AVERAGE(F75:F78)</f>
        <v>0.01</v>
      </c>
      <c r="G81" s="204">
        <f>AVERAGE(G75:G78)</f>
        <v>15</v>
      </c>
      <c r="H81" s="206">
        <f t="shared" si="3"/>
        <v>0</v>
      </c>
      <c r="I81" s="207">
        <f t="shared" si="3"/>
        <v>-5</v>
      </c>
      <c r="J81" s="188">
        <f t="shared" si="3"/>
        <v>15</v>
      </c>
    </row>
    <row r="82" spans="1:10" ht="26" x14ac:dyDescent="0.3">
      <c r="C82" s="188"/>
      <c r="D82" s="205"/>
      <c r="E82" s="205"/>
      <c r="F82" s="205"/>
      <c r="G82" s="188"/>
      <c r="H82" s="206"/>
      <c r="I82" s="199"/>
      <c r="J82" s="188"/>
    </row>
    <row r="83" spans="1:10" ht="26" x14ac:dyDescent="0.3">
      <c r="C83" s="188"/>
      <c r="D83" s="205"/>
      <c r="E83" s="205"/>
      <c r="F83" s="205"/>
      <c r="G83" s="188"/>
      <c r="H83" s="206"/>
      <c r="I83" s="199"/>
      <c r="J83" s="188"/>
    </row>
    <row r="84" spans="1:10" ht="26" x14ac:dyDescent="0.3">
      <c r="A84" s="263" t="s">
        <v>182</v>
      </c>
      <c r="B84" s="263" t="s">
        <v>1</v>
      </c>
      <c r="C84" s="263" t="s">
        <v>209</v>
      </c>
      <c r="D84" s="263" t="s">
        <v>210</v>
      </c>
      <c r="E84" s="263" t="s">
        <v>211</v>
      </c>
      <c r="F84" s="263" t="s">
        <v>212</v>
      </c>
      <c r="G84" s="263" t="s">
        <v>2</v>
      </c>
      <c r="H84" s="263" t="s">
        <v>213</v>
      </c>
      <c r="I84" s="263" t="s">
        <v>9</v>
      </c>
      <c r="J84" s="263" t="s">
        <v>7</v>
      </c>
    </row>
    <row r="85" spans="1:10" ht="26" x14ac:dyDescent="0.3">
      <c r="A85" s="224">
        <v>1</v>
      </c>
      <c r="B85" s="194" t="s">
        <v>241</v>
      </c>
      <c r="C85" s="287">
        <v>2000</v>
      </c>
      <c r="D85" s="201">
        <v>5.0000000000000001E-3</v>
      </c>
      <c r="E85" s="202">
        <v>0.02</v>
      </c>
      <c r="F85" s="201">
        <v>0.02</v>
      </c>
      <c r="G85" s="288">
        <v>40</v>
      </c>
      <c r="H85" s="201">
        <v>0</v>
      </c>
      <c r="I85" s="267">
        <v>0</v>
      </c>
      <c r="J85" s="200">
        <v>30</v>
      </c>
    </row>
    <row r="86" spans="1:10" ht="26" x14ac:dyDescent="0.3">
      <c r="A86" s="224">
        <v>2</v>
      </c>
      <c r="B86" s="194" t="s">
        <v>239</v>
      </c>
      <c r="C86" s="287">
        <v>2000</v>
      </c>
      <c r="D86" s="201">
        <v>5.0000000000000001E-3</v>
      </c>
      <c r="E86" s="202">
        <v>0.02</v>
      </c>
      <c r="F86" s="201">
        <v>0.02</v>
      </c>
      <c r="G86" s="288">
        <v>40</v>
      </c>
      <c r="H86" s="201">
        <v>0</v>
      </c>
      <c r="I86" s="267">
        <v>0</v>
      </c>
      <c r="J86" s="203">
        <v>30</v>
      </c>
    </row>
    <row r="87" spans="1:10" ht="26" x14ac:dyDescent="0.3">
      <c r="A87" s="224">
        <v>3</v>
      </c>
      <c r="B87" s="194" t="s">
        <v>245</v>
      </c>
      <c r="C87" s="287">
        <v>2000</v>
      </c>
      <c r="D87" s="201">
        <v>5.0000000000000001E-3</v>
      </c>
      <c r="E87" s="202">
        <v>0.02</v>
      </c>
      <c r="F87" s="201">
        <v>0.02</v>
      </c>
      <c r="G87" s="288">
        <v>40</v>
      </c>
      <c r="H87" s="201">
        <v>0</v>
      </c>
      <c r="I87" s="267">
        <v>0</v>
      </c>
      <c r="J87" s="203">
        <v>30</v>
      </c>
    </row>
    <row r="88" spans="1:10" ht="26" x14ac:dyDescent="0.3">
      <c r="A88" s="224">
        <v>4</v>
      </c>
      <c r="B88" s="194" t="s">
        <v>248</v>
      </c>
      <c r="C88" s="287">
        <v>2000</v>
      </c>
      <c r="D88" s="201">
        <v>5.0000000000000001E-3</v>
      </c>
      <c r="E88" s="202">
        <v>0.02</v>
      </c>
      <c r="F88" s="201">
        <v>0.02</v>
      </c>
      <c r="G88" s="288">
        <v>40</v>
      </c>
      <c r="H88" s="201">
        <v>0</v>
      </c>
      <c r="I88" s="267">
        <v>0</v>
      </c>
      <c r="J88" s="203">
        <v>-5</v>
      </c>
    </row>
    <row r="89" spans="1:10" ht="26" x14ac:dyDescent="0.3">
      <c r="A89" s="224">
        <v>5</v>
      </c>
      <c r="B89" s="194" t="s">
        <v>234</v>
      </c>
      <c r="C89" s="287">
        <v>2000</v>
      </c>
      <c r="D89" s="201">
        <v>5.0000000000000001E-3</v>
      </c>
      <c r="E89" s="202">
        <v>0.03</v>
      </c>
      <c r="F89" s="201">
        <v>0</v>
      </c>
      <c r="G89" s="288">
        <v>-10</v>
      </c>
      <c r="H89" s="201">
        <v>-5.0000000000000001E-3</v>
      </c>
      <c r="I89" s="267">
        <v>-10</v>
      </c>
      <c r="J89" s="203">
        <v>-10</v>
      </c>
    </row>
    <row r="90" spans="1:10" ht="26" x14ac:dyDescent="0.3">
      <c r="A90" s="224">
        <v>6</v>
      </c>
      <c r="B90" s="194" t="s">
        <v>235</v>
      </c>
      <c r="C90" s="287">
        <v>2000</v>
      </c>
      <c r="D90" s="201">
        <v>5.0000000000000001E-3</v>
      </c>
      <c r="E90" s="202">
        <v>0.03</v>
      </c>
      <c r="F90" s="201">
        <v>0</v>
      </c>
      <c r="G90" s="288">
        <v>-10</v>
      </c>
      <c r="H90" s="201">
        <v>-5.0000000000000001E-3</v>
      </c>
      <c r="I90" s="267">
        <v>-10</v>
      </c>
      <c r="J90" s="203">
        <v>-10</v>
      </c>
    </row>
    <row r="91" spans="1:10" ht="26" x14ac:dyDescent="0.3">
      <c r="A91" s="224">
        <v>7</v>
      </c>
      <c r="B91" s="194" t="s">
        <v>236</v>
      </c>
      <c r="C91" s="287">
        <v>2000</v>
      </c>
      <c r="D91" s="201">
        <v>5.0000000000000001E-3</v>
      </c>
      <c r="E91" s="202">
        <v>0.03</v>
      </c>
      <c r="F91" s="201">
        <v>0</v>
      </c>
      <c r="G91" s="288">
        <v>-10</v>
      </c>
      <c r="H91" s="201">
        <v>-5.0000000000000001E-3</v>
      </c>
      <c r="I91" s="267">
        <v>-10</v>
      </c>
      <c r="J91" s="203">
        <v>-10</v>
      </c>
    </row>
    <row r="92" spans="1:10" ht="26" x14ac:dyDescent="0.3">
      <c r="A92" s="224">
        <v>8</v>
      </c>
      <c r="B92" s="194" t="s">
        <v>237</v>
      </c>
      <c r="C92" s="287">
        <v>2000</v>
      </c>
      <c r="D92" s="201">
        <v>5.0000000000000001E-3</v>
      </c>
      <c r="E92" s="212">
        <v>0.05</v>
      </c>
      <c r="F92" s="201">
        <v>0</v>
      </c>
      <c r="G92" s="288">
        <v>-10</v>
      </c>
      <c r="H92" s="201">
        <v>-5.0000000000000001E-3</v>
      </c>
      <c r="I92" s="267">
        <v>-10</v>
      </c>
      <c r="J92" s="203">
        <v>-10</v>
      </c>
    </row>
    <row r="93" spans="1:10" ht="26" x14ac:dyDescent="0.3">
      <c r="A93" s="224">
        <v>9</v>
      </c>
      <c r="B93" s="194" t="s">
        <v>238</v>
      </c>
      <c r="C93" s="287">
        <v>2000</v>
      </c>
      <c r="D93" s="201">
        <v>5.0000000000000001E-3</v>
      </c>
      <c r="E93" s="202">
        <v>0.03</v>
      </c>
      <c r="F93" s="201">
        <v>0</v>
      </c>
      <c r="G93" s="288">
        <v>-10</v>
      </c>
      <c r="H93" s="201">
        <v>-5.0000000000000001E-3</v>
      </c>
      <c r="I93" s="267">
        <v>-10</v>
      </c>
      <c r="J93" s="203">
        <v>-10</v>
      </c>
    </row>
    <row r="94" spans="1:10" ht="26" x14ac:dyDescent="0.3">
      <c r="A94" s="224"/>
      <c r="B94" s="194"/>
      <c r="C94" s="287"/>
      <c r="D94" s="201"/>
      <c r="E94" s="202"/>
      <c r="F94" s="201"/>
      <c r="G94" s="288"/>
      <c r="H94" s="201"/>
      <c r="I94" s="267"/>
      <c r="J94" s="203"/>
    </row>
    <row r="95" spans="1:10" ht="26" x14ac:dyDescent="0.3">
      <c r="A95" s="224" t="s">
        <v>184</v>
      </c>
      <c r="B95" s="194"/>
      <c r="C95" s="200">
        <f>SUM(C85:C93)</f>
        <v>18000</v>
      </c>
      <c r="D95" s="201"/>
      <c r="E95" s="200"/>
      <c r="F95" s="268"/>
      <c r="G95" s="200">
        <f>SUM(G85:G93)</f>
        <v>110</v>
      </c>
      <c r="H95" s="200"/>
      <c r="I95" s="200">
        <f>SUM(I85:I93)</f>
        <v>-50</v>
      </c>
      <c r="J95" s="200">
        <f>SUM(J85:J93)</f>
        <v>35</v>
      </c>
    </row>
    <row r="96" spans="1:10" ht="26" x14ac:dyDescent="0.3">
      <c r="A96" s="224" t="s">
        <v>190</v>
      </c>
      <c r="B96" s="194"/>
      <c r="C96" s="200">
        <f>AVERAGE(C85:C93)</f>
        <v>2000</v>
      </c>
      <c r="D96" s="201">
        <f>AVERAGE(D85:D93)</f>
        <v>5.0000000000000001E-3</v>
      </c>
      <c r="E96" s="197">
        <f>AVERAGE(E85:E93)</f>
        <v>2.7777777777777776E-2</v>
      </c>
      <c r="F96" s="201">
        <f>AVERAGE(F85:F93)</f>
        <v>8.8888888888888889E-3</v>
      </c>
      <c r="G96" s="200">
        <f>AVERAGE(G85:G93)</f>
        <v>12.222222222222221</v>
      </c>
      <c r="H96" s="201">
        <f>AVERAGE(H85:H93)</f>
        <v>-2.7777777777777779E-3</v>
      </c>
      <c r="I96" s="267">
        <f>AVERAGE(I85:I93)</f>
        <v>-5.5555555555555554</v>
      </c>
      <c r="J96" s="203">
        <f>AVERAGE(J85:J93)</f>
        <v>3.8888888888888888</v>
      </c>
    </row>
    <row r="97" spans="1:10" ht="26" x14ac:dyDescent="0.3">
      <c r="A97" s="224"/>
      <c r="B97" s="194"/>
      <c r="C97" s="200"/>
      <c r="D97" s="201"/>
      <c r="E97" s="212"/>
      <c r="F97" s="201"/>
      <c r="G97" s="200"/>
      <c r="H97" s="201"/>
      <c r="I97" s="195"/>
      <c r="J97" s="203"/>
    </row>
    <row r="98" spans="1:10" ht="26" x14ac:dyDescent="0.3">
      <c r="D98" s="201"/>
    </row>
    <row r="99" spans="1:10" ht="26" x14ac:dyDescent="0.3"/>
    <row r="100" spans="1:10" ht="26" x14ac:dyDescent="0.3"/>
    <row r="101" spans="1:10" ht="26" x14ac:dyDescent="0.3"/>
    <row r="102" spans="1:10" ht="26" x14ac:dyDescent="0.3"/>
    <row r="103" spans="1:10" ht="26" x14ac:dyDescent="0.3"/>
    <row r="104" spans="1:10" ht="26" x14ac:dyDescent="0.3"/>
    <row r="105" spans="1:10" ht="26" x14ac:dyDescent="0.3"/>
    <row r="106" spans="1:10" ht="26" x14ac:dyDescent="0.3"/>
    <row r="107" spans="1:10" ht="26" x14ac:dyDescent="0.3"/>
    <row r="108" spans="1:10" ht="26" x14ac:dyDescent="0.3"/>
    <row r="109" spans="1:10" ht="26" x14ac:dyDescent="0.3"/>
    <row r="110" spans="1:10" ht="26" x14ac:dyDescent="0.3"/>
    <row r="111" spans="1:10" ht="26" x14ac:dyDescent="0.3"/>
    <row r="112" spans="1:10" ht="26" x14ac:dyDescent="0.3"/>
  </sheetData>
  <mergeCells count="4">
    <mergeCell ref="A21:J21"/>
    <mergeCell ref="A47:L47"/>
    <mergeCell ref="A59:J59"/>
    <mergeCell ref="A73:J7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2"/>
  <sheetViews>
    <sheetView workbookViewId="0">
      <pane xSplit="1" topLeftCell="G1" activePane="topRight" state="frozen"/>
      <selection pane="topRight" activeCell="K15" sqref="K15"/>
    </sheetView>
  </sheetViews>
  <sheetFormatPr baseColWidth="10" defaultRowHeight="26" x14ac:dyDescent="0.3"/>
  <cols>
    <col min="1" max="1" width="47.33203125" style="223" bestFit="1" customWidth="1"/>
    <col min="2" max="2" width="49.6640625" style="185" bestFit="1" customWidth="1"/>
    <col min="3" max="3" width="49.33203125" style="185" bestFit="1" customWidth="1"/>
    <col min="4" max="4" width="55.1640625" style="185" bestFit="1" customWidth="1"/>
    <col min="5" max="5" width="51" style="185" bestFit="1" customWidth="1"/>
    <col min="6" max="6" width="45.83203125" style="185" bestFit="1" customWidth="1"/>
    <col min="7" max="7" width="27.1640625" style="185" bestFit="1" customWidth="1"/>
    <col min="8" max="8" width="25.83203125" style="185" bestFit="1" customWidth="1"/>
    <col min="9" max="9" width="28.83203125" style="185" bestFit="1" customWidth="1"/>
    <col min="10" max="10" width="20" style="185" bestFit="1" customWidth="1"/>
    <col min="11" max="11" width="17.83203125" style="185" bestFit="1" customWidth="1"/>
    <col min="12" max="13" width="19.6640625" style="185" bestFit="1" customWidth="1"/>
    <col min="14" max="16384" width="10.83203125" style="185"/>
  </cols>
  <sheetData>
    <row r="1" spans="1:17" s="227" customFormat="1" ht="31" x14ac:dyDescent="0.35">
      <c r="A1" s="225" t="s">
        <v>110</v>
      </c>
      <c r="B1" s="255">
        <v>46272</v>
      </c>
      <c r="C1" s="255">
        <v>46273</v>
      </c>
      <c r="D1" s="255">
        <v>46274</v>
      </c>
      <c r="E1" s="255">
        <v>46275</v>
      </c>
      <c r="F1" s="255">
        <v>46276</v>
      </c>
      <c r="G1" s="226" t="s">
        <v>27</v>
      </c>
      <c r="H1" s="227" t="s">
        <v>205</v>
      </c>
      <c r="I1" s="227" t="s">
        <v>206</v>
      </c>
      <c r="J1" s="227" t="s">
        <v>207</v>
      </c>
      <c r="K1" s="227" t="s">
        <v>208</v>
      </c>
    </row>
    <row r="2" spans="1:17" x14ac:dyDescent="0.3">
      <c r="A2" s="221" t="s">
        <v>192</v>
      </c>
      <c r="B2" s="183"/>
      <c r="C2" s="183"/>
      <c r="D2" s="183"/>
      <c r="E2" s="183"/>
      <c r="F2" s="183"/>
      <c r="G2" s="184"/>
    </row>
    <row r="3" spans="1:17" x14ac:dyDescent="0.3">
      <c r="A3" s="218" t="s">
        <v>193</v>
      </c>
      <c r="B3" s="247">
        <v>300000</v>
      </c>
      <c r="C3" s="247">
        <v>300000</v>
      </c>
      <c r="D3" s="247">
        <v>300000</v>
      </c>
      <c r="E3" s="247">
        <v>300000</v>
      </c>
      <c r="F3" s="247">
        <v>300000</v>
      </c>
      <c r="G3" s="247">
        <f>SUM(B3:F3)</f>
        <v>1500000</v>
      </c>
    </row>
    <row r="4" spans="1:17" x14ac:dyDescent="0.3">
      <c r="A4" s="249" t="s">
        <v>191</v>
      </c>
      <c r="B4" s="248">
        <v>30000</v>
      </c>
      <c r="C4" s="248">
        <v>30000</v>
      </c>
      <c r="D4" s="248">
        <v>30000</v>
      </c>
      <c r="E4" s="248">
        <v>30000</v>
      </c>
      <c r="F4" s="248">
        <v>30000</v>
      </c>
      <c r="G4" s="248">
        <f>AVERAGE(B4:F4)</f>
        <v>30000</v>
      </c>
    </row>
    <row r="5" spans="1:17" x14ac:dyDescent="0.3">
      <c r="A5" s="219" t="s">
        <v>203</v>
      </c>
      <c r="B5" s="250">
        <v>300000</v>
      </c>
      <c r="C5" s="250">
        <v>300000</v>
      </c>
      <c r="D5" s="250">
        <v>300000</v>
      </c>
      <c r="E5" s="250">
        <v>300000</v>
      </c>
      <c r="F5" s="250">
        <v>300000</v>
      </c>
      <c r="G5" s="250">
        <f t="shared" ref="G5:G12" si="0">SUM(B5:F5)</f>
        <v>1500000</v>
      </c>
    </row>
    <row r="6" spans="1:17" x14ac:dyDescent="0.3">
      <c r="A6" s="228" t="s">
        <v>194</v>
      </c>
      <c r="B6" s="229">
        <v>10</v>
      </c>
      <c r="C6" s="229">
        <v>10</v>
      </c>
      <c r="D6" s="229">
        <v>10</v>
      </c>
      <c r="E6" s="229">
        <v>10</v>
      </c>
      <c r="F6" s="229">
        <v>10</v>
      </c>
      <c r="G6" s="231">
        <f t="shared" si="0"/>
        <v>50</v>
      </c>
    </row>
    <row r="7" spans="1:17" x14ac:dyDescent="0.3">
      <c r="A7" s="228" t="s">
        <v>117</v>
      </c>
      <c r="B7" s="229">
        <v>7</v>
      </c>
      <c r="C7" s="229">
        <v>6</v>
      </c>
      <c r="D7" s="230">
        <v>5</v>
      </c>
      <c r="E7" s="229">
        <v>4</v>
      </c>
      <c r="F7" s="229">
        <v>3</v>
      </c>
      <c r="G7" s="231">
        <f t="shared" si="0"/>
        <v>25</v>
      </c>
    </row>
    <row r="8" spans="1:17" x14ac:dyDescent="0.3">
      <c r="A8" s="228" t="s">
        <v>118</v>
      </c>
      <c r="B8" s="229">
        <v>3</v>
      </c>
      <c r="C8" s="229">
        <v>4</v>
      </c>
      <c r="D8" s="230">
        <v>5</v>
      </c>
      <c r="E8" s="229">
        <v>6</v>
      </c>
      <c r="F8" s="229">
        <v>7</v>
      </c>
      <c r="G8" s="231">
        <f t="shared" si="0"/>
        <v>25</v>
      </c>
    </row>
    <row r="9" spans="1:17" x14ac:dyDescent="0.3">
      <c r="A9" s="220" t="s">
        <v>195</v>
      </c>
      <c r="B9" s="232">
        <f>B12*B3</f>
        <v>15000</v>
      </c>
      <c r="C9" s="232">
        <f>C12*C3</f>
        <v>15000</v>
      </c>
      <c r="D9" s="232">
        <f>D12*D3</f>
        <v>15000</v>
      </c>
      <c r="E9" s="232">
        <f>E12*E3</f>
        <v>15000</v>
      </c>
      <c r="F9" s="232">
        <f>F12*F3</f>
        <v>15000</v>
      </c>
      <c r="G9" s="233">
        <f t="shared" si="0"/>
        <v>75000</v>
      </c>
    </row>
    <row r="10" spans="1:17" x14ac:dyDescent="0.3">
      <c r="A10" s="239" t="s">
        <v>199</v>
      </c>
      <c r="B10" s="241">
        <v>9000</v>
      </c>
      <c r="C10" s="241">
        <v>6000</v>
      </c>
      <c r="D10" s="241">
        <v>4500</v>
      </c>
      <c r="E10" s="241">
        <v>6000</v>
      </c>
      <c r="F10" s="241">
        <v>4500</v>
      </c>
      <c r="G10" s="238">
        <f t="shared" si="0"/>
        <v>30000</v>
      </c>
    </row>
    <row r="11" spans="1:17" x14ac:dyDescent="0.3">
      <c r="A11" s="228" t="s">
        <v>200</v>
      </c>
      <c r="B11" s="256">
        <f>- (0.5/100*B4)*B8</f>
        <v>-450</v>
      </c>
      <c r="C11" s="256">
        <f t="shared" ref="C11:D11" si="1">- (0.5/100*C4)*C8</f>
        <v>-600</v>
      </c>
      <c r="D11" s="256">
        <f t="shared" si="1"/>
        <v>-750</v>
      </c>
      <c r="E11" s="256">
        <f>- (0.5/100*E4)*E8</f>
        <v>-900</v>
      </c>
      <c r="F11" s="256">
        <f>- (0.5/100*F4)*F8</f>
        <v>-1050</v>
      </c>
      <c r="G11" s="244">
        <f t="shared" si="0"/>
        <v>-3750</v>
      </c>
    </row>
    <row r="12" spans="1:17" x14ac:dyDescent="0.3">
      <c r="A12" s="220" t="s">
        <v>196</v>
      </c>
      <c r="B12" s="234">
        <v>0.05</v>
      </c>
      <c r="C12" s="234">
        <v>0.05</v>
      </c>
      <c r="D12" s="234">
        <v>0.05</v>
      </c>
      <c r="E12" s="234">
        <v>0.05</v>
      </c>
      <c r="F12" s="234">
        <v>0.05</v>
      </c>
      <c r="G12" s="235">
        <f t="shared" si="0"/>
        <v>0.25</v>
      </c>
    </row>
    <row r="13" spans="1:17" x14ac:dyDescent="0.3">
      <c r="A13" s="239" t="s">
        <v>201</v>
      </c>
      <c r="B13" s="245">
        <f>B10/B3</f>
        <v>0.03</v>
      </c>
      <c r="C13" s="245">
        <f>C10/C3</f>
        <v>0.02</v>
      </c>
      <c r="D13" s="245">
        <f>D10/D3</f>
        <v>1.4999999999999999E-2</v>
      </c>
      <c r="E13" s="245">
        <f>E10/E3</f>
        <v>0.02</v>
      </c>
      <c r="F13" s="245">
        <f>F10/F3</f>
        <v>1.4999999999999999E-2</v>
      </c>
      <c r="G13" s="246">
        <f>AVERAGE(B13:F13)</f>
        <v>0.02</v>
      </c>
    </row>
    <row r="14" spans="1:17" x14ac:dyDescent="0.3">
      <c r="A14" s="228" t="s">
        <v>202</v>
      </c>
      <c r="B14" s="251">
        <f>B11/B3</f>
        <v>-1.5E-3</v>
      </c>
      <c r="C14" s="251">
        <f>C11/C3</f>
        <v>-2E-3</v>
      </c>
      <c r="D14" s="251">
        <f>D11/D3</f>
        <v>-2.5000000000000001E-3</v>
      </c>
      <c r="E14" s="251">
        <f>E11/E3</f>
        <v>-3.0000000000000001E-3</v>
      </c>
      <c r="F14" s="251">
        <f>F11/F3</f>
        <v>-3.5000000000000001E-3</v>
      </c>
      <c r="G14" s="252">
        <f>SUM(B14:F14)</f>
        <v>-1.2500000000000001E-2</v>
      </c>
    </row>
    <row r="15" spans="1:17" x14ac:dyDescent="0.3">
      <c r="A15" s="236" t="s">
        <v>197</v>
      </c>
      <c r="B15" s="237">
        <f>B10+B11</f>
        <v>8550</v>
      </c>
      <c r="C15" s="237">
        <f t="shared" ref="C15:F15" si="2">C10+C11</f>
        <v>5400</v>
      </c>
      <c r="D15" s="237">
        <f t="shared" si="2"/>
        <v>3750</v>
      </c>
      <c r="E15" s="237">
        <f t="shared" si="2"/>
        <v>5100</v>
      </c>
      <c r="F15" s="237">
        <f t="shared" si="2"/>
        <v>3450</v>
      </c>
      <c r="G15" s="238">
        <f>SUM(B15:F15)</f>
        <v>26250</v>
      </c>
      <c r="H15" s="188">
        <f>G15*4</f>
        <v>105000</v>
      </c>
      <c r="I15" s="188">
        <f>0.3*H15</f>
        <v>31500</v>
      </c>
      <c r="J15" s="188">
        <f>0.01/100*H15</f>
        <v>10.5</v>
      </c>
      <c r="K15" s="257">
        <f>H15-I15-J15</f>
        <v>73489.5</v>
      </c>
      <c r="L15" s="258">
        <f>K15/300000</f>
        <v>0.24496499999999999</v>
      </c>
      <c r="M15" s="188">
        <f>K15*10</f>
        <v>734895</v>
      </c>
    </row>
    <row r="16" spans="1:17" x14ac:dyDescent="0.3">
      <c r="A16" s="218" t="s">
        <v>198</v>
      </c>
      <c r="B16" s="186">
        <f>B15/B3</f>
        <v>2.8500000000000001E-2</v>
      </c>
      <c r="C16" s="186">
        <f>C15/C3</f>
        <v>1.7999999999999999E-2</v>
      </c>
      <c r="D16" s="186">
        <f>D15/D3</f>
        <v>1.2500000000000001E-2</v>
      </c>
      <c r="E16" s="186">
        <f>E15/E3</f>
        <v>1.7000000000000001E-2</v>
      </c>
      <c r="F16" s="186">
        <f>F15/F3</f>
        <v>1.15E-2</v>
      </c>
      <c r="G16" s="187">
        <f>SUM(B16:F16)</f>
        <v>8.7499999999999994E-2</v>
      </c>
      <c r="K16" s="257">
        <f>K15/2</f>
        <v>36744.75</v>
      </c>
      <c r="L16" s="188"/>
      <c r="M16" s="188"/>
      <c r="N16" s="188"/>
      <c r="O16" s="188"/>
      <c r="P16" s="188"/>
      <c r="Q16" s="188"/>
    </row>
    <row r="17" spans="1:17" x14ac:dyDescent="0.3">
      <c r="A17" s="239" t="s">
        <v>204</v>
      </c>
      <c r="B17" s="253">
        <f>(B15/B9)</f>
        <v>0.56999999999999995</v>
      </c>
      <c r="C17" s="253">
        <f>(C15/C9)</f>
        <v>0.36</v>
      </c>
      <c r="D17" s="253">
        <f>(D15/D9)</f>
        <v>0.25</v>
      </c>
      <c r="E17" s="253">
        <f>(E15/E9)</f>
        <v>0.34</v>
      </c>
      <c r="F17" s="253">
        <f>(F15/F9)</f>
        <v>0.23</v>
      </c>
      <c r="G17" s="240">
        <f>AVERAGE(B17:F17)</f>
        <v>0.35</v>
      </c>
      <c r="K17" s="188"/>
      <c r="L17" s="188"/>
      <c r="M17" s="188"/>
      <c r="N17" s="188"/>
      <c r="O17" s="188"/>
      <c r="P17" s="188"/>
      <c r="Q17" s="188"/>
    </row>
    <row r="18" spans="1:17" x14ac:dyDescent="0.3">
      <c r="A18" s="222"/>
      <c r="B18" s="216"/>
      <c r="C18" s="216"/>
      <c r="D18" s="216"/>
      <c r="E18" s="216"/>
      <c r="F18" s="216"/>
      <c r="G18" s="217"/>
    </row>
    <row r="19" spans="1:17" x14ac:dyDescent="0.3">
      <c r="A19" s="222"/>
      <c r="B19" s="216"/>
      <c r="C19" s="216"/>
      <c r="D19" s="216"/>
      <c r="E19" s="216"/>
      <c r="F19" s="216"/>
      <c r="G19" s="217"/>
    </row>
    <row r="20" spans="1:17" x14ac:dyDescent="0.3">
      <c r="A20" s="284" t="s">
        <v>8</v>
      </c>
      <c r="B20" s="284"/>
      <c r="C20" s="284"/>
      <c r="D20" s="284"/>
      <c r="E20" s="284"/>
      <c r="F20" s="284"/>
      <c r="G20" s="284"/>
      <c r="H20" s="284"/>
      <c r="I20" s="284"/>
      <c r="J20" s="284"/>
      <c r="K20" s="210"/>
      <c r="L20" s="210"/>
    </row>
    <row r="21" spans="1:17" x14ac:dyDescent="0.3">
      <c r="A21" s="223" t="s">
        <v>182</v>
      </c>
      <c r="B21" s="189" t="s">
        <v>1</v>
      </c>
      <c r="C21" s="185" t="s">
        <v>131</v>
      </c>
      <c r="D21" s="185" t="s">
        <v>6</v>
      </c>
      <c r="E21" s="185" t="s">
        <v>5</v>
      </c>
      <c r="F21" s="185" t="s">
        <v>3</v>
      </c>
      <c r="G21" s="185" t="s">
        <v>2</v>
      </c>
      <c r="H21" s="185" t="s">
        <v>4</v>
      </c>
      <c r="I21" s="190" t="s">
        <v>9</v>
      </c>
      <c r="J21" s="185" t="s">
        <v>7</v>
      </c>
    </row>
    <row r="22" spans="1:17" x14ac:dyDescent="0.3">
      <c r="A22" s="223">
        <v>1</v>
      </c>
      <c r="B22" s="189" t="s">
        <v>12</v>
      </c>
      <c r="C22" s="188">
        <v>1000</v>
      </c>
      <c r="D22" s="191">
        <v>5.0000000000000001E-3</v>
      </c>
      <c r="E22" s="197">
        <v>0.02</v>
      </c>
      <c r="F22" s="191">
        <v>0.02</v>
      </c>
      <c r="G22" s="188">
        <v>20</v>
      </c>
      <c r="H22" s="191">
        <v>0</v>
      </c>
      <c r="I22" s="190">
        <v>0</v>
      </c>
      <c r="J22" s="211">
        <v>20</v>
      </c>
    </row>
    <row r="23" spans="1:17" x14ac:dyDescent="0.3">
      <c r="A23" s="223">
        <v>2</v>
      </c>
      <c r="B23" s="189" t="s">
        <v>52</v>
      </c>
      <c r="C23" s="188">
        <v>1000</v>
      </c>
      <c r="D23" s="191">
        <v>5.0000000000000001E-3</v>
      </c>
      <c r="E23" s="197">
        <v>0.02</v>
      </c>
      <c r="F23" s="191">
        <v>0.02</v>
      </c>
      <c r="G23" s="188">
        <v>20</v>
      </c>
      <c r="H23" s="191">
        <v>0</v>
      </c>
      <c r="I23" s="190">
        <v>0</v>
      </c>
      <c r="J23" s="211">
        <v>20</v>
      </c>
    </row>
    <row r="24" spans="1:17" x14ac:dyDescent="0.3">
      <c r="A24" s="223">
        <v>3</v>
      </c>
      <c r="B24" s="189" t="s">
        <v>35</v>
      </c>
      <c r="C24" s="188">
        <v>1000</v>
      </c>
      <c r="D24" s="191">
        <v>5.0000000000000001E-3</v>
      </c>
      <c r="E24" s="197">
        <v>0.02</v>
      </c>
      <c r="F24" s="191">
        <v>0.02</v>
      </c>
      <c r="G24" s="188">
        <v>20</v>
      </c>
      <c r="H24" s="191">
        <v>0</v>
      </c>
      <c r="I24" s="190">
        <v>0</v>
      </c>
      <c r="J24" s="211">
        <v>20</v>
      </c>
    </row>
    <row r="25" spans="1:17" x14ac:dyDescent="0.3">
      <c r="A25" s="223">
        <v>4</v>
      </c>
      <c r="B25" s="189" t="s">
        <v>15</v>
      </c>
      <c r="C25" s="188">
        <v>1000</v>
      </c>
      <c r="D25" s="191">
        <v>5.0000000000000001E-3</v>
      </c>
      <c r="E25" s="197">
        <v>0.02</v>
      </c>
      <c r="F25" s="191">
        <v>0.02</v>
      </c>
      <c r="G25" s="188">
        <v>20</v>
      </c>
      <c r="H25" s="191">
        <v>0</v>
      </c>
      <c r="I25" s="190">
        <v>0</v>
      </c>
      <c r="J25" s="211">
        <v>20</v>
      </c>
    </row>
    <row r="26" spans="1:17" x14ac:dyDescent="0.3">
      <c r="A26" s="223">
        <v>5</v>
      </c>
      <c r="B26" s="189" t="s">
        <v>32</v>
      </c>
      <c r="C26" s="188">
        <v>1000</v>
      </c>
      <c r="D26" s="191">
        <v>5.0000000000000001E-3</v>
      </c>
      <c r="E26" s="197">
        <v>0.02</v>
      </c>
      <c r="F26" s="191">
        <v>0.02</v>
      </c>
      <c r="G26" s="188">
        <v>20</v>
      </c>
      <c r="H26" s="191">
        <v>0</v>
      </c>
      <c r="I26" s="190">
        <v>0</v>
      </c>
      <c r="J26" s="211">
        <v>20</v>
      </c>
    </row>
    <row r="27" spans="1:17" x14ac:dyDescent="0.3">
      <c r="A27" s="223">
        <v>6</v>
      </c>
      <c r="B27" s="189" t="s">
        <v>19</v>
      </c>
      <c r="C27" s="188">
        <v>1000</v>
      </c>
      <c r="D27" s="191">
        <v>5.0000000000000001E-3</v>
      </c>
      <c r="E27" s="197">
        <v>0.02</v>
      </c>
      <c r="F27" s="191">
        <v>0.02</v>
      </c>
      <c r="G27" s="188">
        <v>20</v>
      </c>
      <c r="H27" s="191">
        <v>0</v>
      </c>
      <c r="I27" s="190">
        <v>0</v>
      </c>
      <c r="J27" s="211">
        <v>20</v>
      </c>
    </row>
    <row r="28" spans="1:17" x14ac:dyDescent="0.3">
      <c r="A28" s="223">
        <v>7</v>
      </c>
      <c r="B28" s="189" t="s">
        <v>14</v>
      </c>
      <c r="C28" s="188">
        <v>1000</v>
      </c>
      <c r="D28" s="191">
        <v>5.0000000000000001E-3</v>
      </c>
      <c r="E28" s="197">
        <v>0.02</v>
      </c>
      <c r="F28" s="191">
        <v>0.02</v>
      </c>
      <c r="G28" s="188">
        <v>20</v>
      </c>
      <c r="H28" s="191">
        <v>0</v>
      </c>
      <c r="I28" s="190">
        <v>0</v>
      </c>
      <c r="J28" s="211">
        <v>20</v>
      </c>
    </row>
    <row r="29" spans="1:17" x14ac:dyDescent="0.3">
      <c r="A29" s="223">
        <v>8</v>
      </c>
      <c r="B29" s="189" t="s">
        <v>11</v>
      </c>
      <c r="C29" s="188">
        <v>1000</v>
      </c>
      <c r="D29" s="191">
        <v>5.0000000000000001E-3</v>
      </c>
      <c r="E29" s="197">
        <v>0.02</v>
      </c>
      <c r="F29" s="191">
        <v>0.02</v>
      </c>
      <c r="G29" s="188">
        <v>20</v>
      </c>
      <c r="H29" s="191">
        <v>0</v>
      </c>
      <c r="I29" s="190">
        <v>0</v>
      </c>
      <c r="J29" s="211">
        <v>20</v>
      </c>
    </row>
    <row r="30" spans="1:17" x14ac:dyDescent="0.3">
      <c r="A30" s="223">
        <v>9</v>
      </c>
      <c r="B30" s="189" t="s">
        <v>25</v>
      </c>
      <c r="C30" s="188">
        <v>1000</v>
      </c>
      <c r="D30" s="191">
        <v>5.0000000000000001E-3</v>
      </c>
      <c r="E30" s="197">
        <v>0.02</v>
      </c>
      <c r="F30" s="191">
        <v>0.02</v>
      </c>
      <c r="G30" s="188">
        <v>20</v>
      </c>
      <c r="H30" s="191">
        <v>0</v>
      </c>
      <c r="I30" s="190">
        <v>0</v>
      </c>
      <c r="J30" s="211">
        <v>20</v>
      </c>
    </row>
    <row r="31" spans="1:17" x14ac:dyDescent="0.3">
      <c r="A31" s="223">
        <v>10</v>
      </c>
      <c r="B31" s="189" t="s">
        <v>16</v>
      </c>
      <c r="C31" s="188">
        <v>1000</v>
      </c>
      <c r="D31" s="191">
        <v>5.0000000000000001E-3</v>
      </c>
      <c r="E31" s="197">
        <v>0.02</v>
      </c>
      <c r="F31" s="191">
        <v>0.02</v>
      </c>
      <c r="G31" s="188">
        <v>20</v>
      </c>
      <c r="H31" s="191">
        <v>0</v>
      </c>
      <c r="I31" s="190">
        <v>0</v>
      </c>
      <c r="J31" s="211">
        <v>20</v>
      </c>
    </row>
    <row r="32" spans="1:17" x14ac:dyDescent="0.3">
      <c r="A32" s="223">
        <v>11</v>
      </c>
      <c r="B32" s="189" t="s">
        <v>12</v>
      </c>
      <c r="C32" s="188">
        <v>1000</v>
      </c>
      <c r="D32" s="191">
        <v>5.0000000000000001E-3</v>
      </c>
      <c r="E32" s="197">
        <v>0.02</v>
      </c>
      <c r="F32" s="191">
        <v>0.02</v>
      </c>
      <c r="G32" s="188">
        <v>20</v>
      </c>
      <c r="H32" s="191">
        <v>0</v>
      </c>
      <c r="I32" s="190">
        <v>0</v>
      </c>
      <c r="J32" s="211">
        <v>20</v>
      </c>
    </row>
    <row r="33" spans="1:12" x14ac:dyDescent="0.3">
      <c r="A33" s="223">
        <v>12</v>
      </c>
      <c r="B33" s="189" t="s">
        <v>19</v>
      </c>
      <c r="C33" s="188">
        <v>1000</v>
      </c>
      <c r="D33" s="191">
        <v>5.0000000000000001E-3</v>
      </c>
      <c r="E33" s="197">
        <v>0.02</v>
      </c>
      <c r="F33" s="191">
        <v>0.02</v>
      </c>
      <c r="G33" s="188">
        <v>20</v>
      </c>
      <c r="H33" s="191">
        <v>0</v>
      </c>
      <c r="I33" s="190">
        <v>0</v>
      </c>
      <c r="J33" s="211">
        <v>20</v>
      </c>
    </row>
    <row r="34" spans="1:12" x14ac:dyDescent="0.3">
      <c r="A34" s="223">
        <v>13</v>
      </c>
      <c r="B34" s="189" t="s">
        <v>35</v>
      </c>
      <c r="C34" s="188">
        <v>1000</v>
      </c>
      <c r="D34" s="191">
        <v>5.0000000000000001E-3</v>
      </c>
      <c r="E34" s="197">
        <v>0.02</v>
      </c>
      <c r="F34" s="191">
        <v>0.02</v>
      </c>
      <c r="G34" s="188">
        <v>20</v>
      </c>
      <c r="H34" s="191">
        <v>0</v>
      </c>
      <c r="I34" s="190">
        <v>0</v>
      </c>
      <c r="J34" s="211">
        <v>20</v>
      </c>
    </row>
    <row r="35" spans="1:12" x14ac:dyDescent="0.3">
      <c r="A35" s="223">
        <v>14</v>
      </c>
      <c r="B35" s="189" t="s">
        <v>32</v>
      </c>
      <c r="C35" s="188">
        <v>1000</v>
      </c>
      <c r="D35" s="191">
        <v>5.0000000000000001E-3</v>
      </c>
      <c r="E35" s="197">
        <v>0.02</v>
      </c>
      <c r="F35" s="191">
        <v>0.02</v>
      </c>
      <c r="G35" s="188">
        <v>20</v>
      </c>
      <c r="H35" s="191">
        <v>0</v>
      </c>
      <c r="I35" s="190">
        <v>0</v>
      </c>
      <c r="J35" s="211">
        <v>20</v>
      </c>
    </row>
    <row r="36" spans="1:12" x14ac:dyDescent="0.3">
      <c r="A36" s="223">
        <v>15</v>
      </c>
      <c r="B36" s="189" t="s">
        <v>15</v>
      </c>
      <c r="C36" s="188">
        <v>1000</v>
      </c>
      <c r="D36" s="191">
        <v>5.0000000000000001E-3</v>
      </c>
      <c r="E36" s="197">
        <v>0.02</v>
      </c>
      <c r="F36" s="191">
        <v>0.02</v>
      </c>
      <c r="G36" s="188">
        <v>20</v>
      </c>
      <c r="H36" s="191">
        <v>0</v>
      </c>
      <c r="I36" s="190">
        <v>0</v>
      </c>
      <c r="J36" s="211">
        <v>20</v>
      </c>
      <c r="K36" s="190"/>
    </row>
    <row r="37" spans="1:12" x14ac:dyDescent="0.3">
      <c r="A37" s="223" t="s">
        <v>184</v>
      </c>
      <c r="B37" s="189"/>
      <c r="C37" s="188">
        <f>SUM(C22:C36)</f>
        <v>15000</v>
      </c>
      <c r="F37" s="191">
        <f>SUM(F22:F36)</f>
        <v>0.3</v>
      </c>
      <c r="G37" s="188">
        <f>SUM(G22:G36)</f>
        <v>300</v>
      </c>
      <c r="H37" s="191">
        <f>SUM(H22:H36)</f>
        <v>0</v>
      </c>
      <c r="I37" s="188"/>
      <c r="J37" s="196">
        <f>SUM(J22:J36)</f>
        <v>300</v>
      </c>
      <c r="K37" s="190"/>
      <c r="L37" s="188"/>
    </row>
    <row r="38" spans="1:12" x14ac:dyDescent="0.3">
      <c r="B38" s="189"/>
      <c r="C38" s="188"/>
      <c r="F38" s="191"/>
      <c r="G38" s="188"/>
      <c r="H38" s="191"/>
      <c r="I38" s="188"/>
      <c r="J38" s="196"/>
      <c r="K38" s="190"/>
      <c r="L38" s="188"/>
    </row>
    <row r="39" spans="1:12" x14ac:dyDescent="0.3">
      <c r="A39" s="223" t="s">
        <v>190</v>
      </c>
      <c r="B39" s="189"/>
      <c r="C39" s="188">
        <f>AVERAGE(C22:C36)</f>
        <v>1000</v>
      </c>
      <c r="D39" s="205">
        <f t="shared" ref="D39:J39" si="3">AVERAGE(D22:D36)</f>
        <v>5.0000000000000001E-3</v>
      </c>
      <c r="E39" s="205">
        <f t="shared" si="3"/>
        <v>0.02</v>
      </c>
      <c r="F39" s="205">
        <f t="shared" si="3"/>
        <v>0.02</v>
      </c>
      <c r="G39" s="204">
        <f t="shared" si="3"/>
        <v>20</v>
      </c>
      <c r="H39" s="205">
        <f t="shared" si="3"/>
        <v>0</v>
      </c>
      <c r="I39" s="188">
        <f t="shared" si="3"/>
        <v>0</v>
      </c>
      <c r="J39" s="188">
        <f t="shared" si="3"/>
        <v>20</v>
      </c>
      <c r="K39" s="190"/>
      <c r="L39" s="188"/>
    </row>
    <row r="40" spans="1:12" x14ac:dyDescent="0.3">
      <c r="A40" s="254" t="s">
        <v>189</v>
      </c>
      <c r="B40" s="189"/>
      <c r="C40" s="188"/>
      <c r="F40" s="191"/>
      <c r="G40" s="188"/>
      <c r="H40" s="191"/>
      <c r="I40" s="188"/>
      <c r="J40" s="196"/>
      <c r="K40" s="190"/>
      <c r="L40" s="188"/>
    </row>
    <row r="41" spans="1:12" x14ac:dyDescent="0.3">
      <c r="A41" s="222" t="s">
        <v>157</v>
      </c>
      <c r="B41" s="189"/>
      <c r="C41" s="188"/>
      <c r="F41" s="191"/>
      <c r="G41" s="188"/>
      <c r="H41" s="191"/>
      <c r="I41" s="188"/>
      <c r="J41" s="196"/>
      <c r="K41" s="190"/>
      <c r="L41" s="188"/>
    </row>
    <row r="42" spans="1:12" x14ac:dyDescent="0.3">
      <c r="B42" s="189"/>
      <c r="C42" s="188"/>
      <c r="F42" s="191"/>
      <c r="G42" s="188"/>
      <c r="H42" s="191"/>
      <c r="I42" s="188"/>
      <c r="J42" s="196"/>
      <c r="K42" s="190"/>
      <c r="L42" s="188"/>
    </row>
    <row r="43" spans="1:12" x14ac:dyDescent="0.3">
      <c r="B43" s="189"/>
      <c r="C43" s="188"/>
      <c r="F43" s="191"/>
      <c r="G43" s="188"/>
      <c r="H43" s="191"/>
      <c r="I43" s="188"/>
      <c r="J43" s="196"/>
      <c r="K43" s="190"/>
      <c r="L43" s="188"/>
    </row>
    <row r="44" spans="1:12" x14ac:dyDescent="0.3">
      <c r="B44" s="189"/>
      <c r="C44" s="188"/>
      <c r="F44" s="191"/>
      <c r="G44" s="188"/>
      <c r="H44" s="191"/>
      <c r="I44" s="188"/>
      <c r="J44" s="196"/>
      <c r="K44" s="190"/>
      <c r="L44" s="188"/>
    </row>
    <row r="45" spans="1:12" x14ac:dyDescent="0.3">
      <c r="B45" s="189"/>
      <c r="C45" s="188"/>
      <c r="F45" s="191"/>
      <c r="G45" s="188"/>
      <c r="H45" s="191"/>
      <c r="I45" s="188"/>
      <c r="J45" s="196"/>
      <c r="K45" s="190"/>
      <c r="L45" s="188"/>
    </row>
    <row r="46" spans="1:12" x14ac:dyDescent="0.3">
      <c r="A46" s="284" t="s">
        <v>29</v>
      </c>
      <c r="B46" s="284"/>
      <c r="C46" s="284"/>
      <c r="D46" s="284"/>
      <c r="E46" s="284"/>
      <c r="F46" s="284"/>
      <c r="G46" s="284"/>
      <c r="H46" s="284"/>
      <c r="I46" s="284"/>
      <c r="J46" s="284"/>
      <c r="K46" s="284"/>
      <c r="L46" s="284"/>
    </row>
    <row r="47" spans="1:12" x14ac:dyDescent="0.3">
      <c r="A47" s="223" t="s">
        <v>182</v>
      </c>
      <c r="B47" s="189" t="s">
        <v>1</v>
      </c>
      <c r="C47" s="185" t="s">
        <v>131</v>
      </c>
      <c r="D47" s="185" t="s">
        <v>6</v>
      </c>
      <c r="E47" s="185" t="s">
        <v>5</v>
      </c>
      <c r="F47" s="185" t="s">
        <v>3</v>
      </c>
      <c r="G47" s="185" t="s">
        <v>2</v>
      </c>
      <c r="H47" s="185" t="s">
        <v>4</v>
      </c>
      <c r="I47" s="190" t="s">
        <v>9</v>
      </c>
      <c r="J47" s="185" t="s">
        <v>7</v>
      </c>
    </row>
    <row r="48" spans="1:12" x14ac:dyDescent="0.3">
      <c r="A48" s="223">
        <v>1</v>
      </c>
      <c r="B48" s="189" t="s">
        <v>52</v>
      </c>
      <c r="C48" s="188">
        <v>1000</v>
      </c>
      <c r="D48" s="191">
        <v>5.0000000000000001E-3</v>
      </c>
      <c r="E48" s="212">
        <v>0.1</v>
      </c>
      <c r="F48" s="191">
        <v>6.5000000000000002E-2</v>
      </c>
      <c r="G48" s="188">
        <v>65</v>
      </c>
      <c r="H48" s="191">
        <v>0</v>
      </c>
      <c r="I48" s="213">
        <v>0</v>
      </c>
      <c r="J48" s="211">
        <v>65</v>
      </c>
    </row>
    <row r="49" spans="1:10" x14ac:dyDescent="0.3">
      <c r="A49" s="223">
        <v>2</v>
      </c>
      <c r="B49" s="189" t="s">
        <v>32</v>
      </c>
      <c r="C49" s="188">
        <v>1000</v>
      </c>
      <c r="D49" s="191">
        <v>5.0000000000000001E-3</v>
      </c>
      <c r="E49" s="212">
        <v>0.1</v>
      </c>
      <c r="F49" s="191">
        <v>7.0000000000000007E-2</v>
      </c>
      <c r="G49" s="188">
        <v>70</v>
      </c>
      <c r="H49" s="191">
        <v>0</v>
      </c>
      <c r="I49" s="213">
        <v>0</v>
      </c>
      <c r="J49" s="211">
        <v>70</v>
      </c>
    </row>
    <row r="50" spans="1:10" x14ac:dyDescent="0.3">
      <c r="A50" s="223">
        <v>3</v>
      </c>
      <c r="B50" s="189" t="s">
        <v>35</v>
      </c>
      <c r="C50" s="188">
        <v>1000</v>
      </c>
      <c r="D50" s="191">
        <v>5.0000000000000001E-3</v>
      </c>
      <c r="E50" s="212">
        <v>0.1</v>
      </c>
      <c r="F50" s="191">
        <v>7.0000000000000007E-2</v>
      </c>
      <c r="G50" s="188">
        <v>70</v>
      </c>
      <c r="H50" s="191">
        <v>0</v>
      </c>
      <c r="I50" s="213">
        <v>0</v>
      </c>
      <c r="J50" s="211">
        <v>70</v>
      </c>
    </row>
    <row r="51" spans="1:10" x14ac:dyDescent="0.3">
      <c r="A51" s="223">
        <v>4</v>
      </c>
      <c r="B51" s="189" t="s">
        <v>15</v>
      </c>
      <c r="C51" s="188">
        <v>1000</v>
      </c>
      <c r="D51" s="191">
        <v>5.0000000000000001E-3</v>
      </c>
      <c r="E51" s="197">
        <v>0.02</v>
      </c>
      <c r="F51" s="191">
        <v>0</v>
      </c>
      <c r="G51" s="188">
        <v>0</v>
      </c>
      <c r="H51" s="191">
        <v>-5.0000000000000001E-3</v>
      </c>
      <c r="I51" s="190">
        <v>-5</v>
      </c>
      <c r="J51" s="211">
        <v>-5</v>
      </c>
    </row>
    <row r="52" spans="1:10" x14ac:dyDescent="0.3">
      <c r="A52" s="223">
        <v>5</v>
      </c>
      <c r="B52" s="189" t="s">
        <v>186</v>
      </c>
      <c r="C52" s="188">
        <v>1000</v>
      </c>
      <c r="D52" s="191">
        <v>5.0000000000000001E-3</v>
      </c>
      <c r="E52" s="197">
        <v>0.02</v>
      </c>
      <c r="F52" s="191">
        <v>0</v>
      </c>
      <c r="G52" s="188">
        <v>0</v>
      </c>
      <c r="H52" s="191">
        <v>-5.0000000000000001E-3</v>
      </c>
      <c r="I52" s="190">
        <v>-5</v>
      </c>
      <c r="J52" s="211">
        <v>-5</v>
      </c>
    </row>
    <row r="53" spans="1:10" x14ac:dyDescent="0.3">
      <c r="A53" s="223">
        <v>6</v>
      </c>
      <c r="B53" s="189" t="s">
        <v>16</v>
      </c>
      <c r="C53" s="188">
        <v>1000</v>
      </c>
      <c r="D53" s="191">
        <v>5.0000000000000001E-3</v>
      </c>
      <c r="E53" s="197">
        <v>0.02</v>
      </c>
      <c r="F53" s="191">
        <v>0</v>
      </c>
      <c r="G53" s="188">
        <v>0</v>
      </c>
      <c r="H53" s="191">
        <v>-5.0000000000000001E-3</v>
      </c>
      <c r="I53" s="190">
        <v>-5</v>
      </c>
      <c r="J53" s="211">
        <v>-5</v>
      </c>
    </row>
    <row r="54" spans="1:10" x14ac:dyDescent="0.3">
      <c r="A54" s="223">
        <v>7</v>
      </c>
      <c r="B54" s="189" t="s">
        <v>25</v>
      </c>
      <c r="C54" s="188">
        <v>1000</v>
      </c>
      <c r="D54" s="191">
        <v>5.0000000000000001E-3</v>
      </c>
      <c r="E54" s="197">
        <v>0.02</v>
      </c>
      <c r="F54" s="191">
        <v>0</v>
      </c>
      <c r="G54" s="188">
        <v>0</v>
      </c>
      <c r="H54" s="191">
        <v>-5.0000000000000001E-3</v>
      </c>
      <c r="I54" s="190">
        <v>-5</v>
      </c>
      <c r="J54" s="211">
        <v>-5</v>
      </c>
    </row>
    <row r="55" spans="1:10" x14ac:dyDescent="0.3">
      <c r="A55" s="223">
        <v>8</v>
      </c>
      <c r="B55" s="189" t="s">
        <v>187</v>
      </c>
      <c r="C55" s="188">
        <v>1000</v>
      </c>
      <c r="D55" s="191">
        <v>5.0000000000000001E-3</v>
      </c>
      <c r="E55" s="197">
        <v>0.02</v>
      </c>
      <c r="F55" s="191">
        <v>0</v>
      </c>
      <c r="G55" s="188">
        <v>0</v>
      </c>
      <c r="H55" s="191">
        <v>-5.0000000000000001E-3</v>
      </c>
      <c r="I55" s="190">
        <v>-5</v>
      </c>
      <c r="J55" s="211">
        <v>-5</v>
      </c>
    </row>
    <row r="56" spans="1:10" x14ac:dyDescent="0.3">
      <c r="A56" s="223">
        <v>9</v>
      </c>
      <c r="B56" s="189" t="s">
        <v>69</v>
      </c>
      <c r="C56" s="188">
        <v>1000</v>
      </c>
      <c r="D56" s="191">
        <v>5.0000000000000001E-3</v>
      </c>
      <c r="E56" s="197">
        <v>0.02</v>
      </c>
      <c r="F56" s="191">
        <v>0</v>
      </c>
      <c r="G56" s="188">
        <v>0</v>
      </c>
      <c r="H56" s="191">
        <v>-5.0000000000000001E-3</v>
      </c>
      <c r="I56" s="190">
        <v>-5</v>
      </c>
      <c r="J56" s="211">
        <v>-5</v>
      </c>
    </row>
    <row r="57" spans="1:10" x14ac:dyDescent="0.3">
      <c r="A57" s="223">
        <v>10</v>
      </c>
      <c r="B57" s="189" t="s">
        <v>22</v>
      </c>
      <c r="C57" s="188">
        <v>1000</v>
      </c>
      <c r="D57" s="191">
        <v>5.0000000000000001E-3</v>
      </c>
      <c r="E57" s="197">
        <v>0.02</v>
      </c>
      <c r="F57" s="191">
        <v>0</v>
      </c>
      <c r="G57" s="188">
        <v>0</v>
      </c>
      <c r="H57" s="191">
        <v>-5.0000000000000001E-3</v>
      </c>
      <c r="I57" s="190">
        <v>-5</v>
      </c>
      <c r="J57" s="211">
        <v>-5</v>
      </c>
    </row>
    <row r="58" spans="1:10" x14ac:dyDescent="0.3">
      <c r="A58" s="223" t="s">
        <v>184</v>
      </c>
      <c r="C58" s="188">
        <f>SUM(C48:C57)</f>
        <v>10000</v>
      </c>
      <c r="E58" s="197"/>
      <c r="F58" s="191">
        <f>SUM(F48:F57)</f>
        <v>0.20500000000000002</v>
      </c>
      <c r="G58" s="188">
        <f>SUM(G48:G57)</f>
        <v>205</v>
      </c>
      <c r="H58" s="191">
        <f>SUM(H48:H57)</f>
        <v>-3.5000000000000003E-2</v>
      </c>
      <c r="J58" s="198">
        <f>SUM(J48:J57)</f>
        <v>170</v>
      </c>
    </row>
    <row r="59" spans="1:10" x14ac:dyDescent="0.3">
      <c r="A59" s="223" t="s">
        <v>190</v>
      </c>
      <c r="C59" s="188">
        <f>AVERAGE(C48:C57)</f>
        <v>1000</v>
      </c>
      <c r="D59" s="205">
        <f t="shared" ref="D59:J59" si="4">AVERAGE(D48:D57)</f>
        <v>4.9999999999999992E-3</v>
      </c>
      <c r="E59" s="205">
        <f t="shared" si="4"/>
        <v>4.4000000000000018E-2</v>
      </c>
      <c r="F59" s="208">
        <f t="shared" si="4"/>
        <v>2.0500000000000001E-2</v>
      </c>
      <c r="G59" s="188">
        <f t="shared" si="4"/>
        <v>20.5</v>
      </c>
      <c r="H59" s="209">
        <f t="shared" si="4"/>
        <v>-3.5000000000000005E-3</v>
      </c>
      <c r="I59" s="188">
        <f t="shared" si="4"/>
        <v>-3.5</v>
      </c>
      <c r="J59" s="188">
        <f t="shared" si="4"/>
        <v>17</v>
      </c>
    </row>
    <row r="60" spans="1:10" x14ac:dyDescent="0.3">
      <c r="C60" s="188"/>
      <c r="D60" s="188"/>
      <c r="E60" s="188"/>
      <c r="F60" s="188"/>
      <c r="G60" s="188"/>
      <c r="H60" s="188"/>
      <c r="I60" s="188"/>
      <c r="J60" s="188"/>
    </row>
    <row r="61" spans="1:10" x14ac:dyDescent="0.3">
      <c r="C61" s="188"/>
      <c r="D61" s="188"/>
      <c r="E61" s="188"/>
      <c r="F61" s="188"/>
      <c r="G61" s="188"/>
      <c r="H61" s="188"/>
      <c r="I61" s="188"/>
      <c r="J61" s="188"/>
    </row>
    <row r="62" spans="1:10" x14ac:dyDescent="0.3">
      <c r="A62" s="284" t="s">
        <v>40</v>
      </c>
      <c r="B62" s="284"/>
      <c r="C62" s="284"/>
      <c r="D62" s="284"/>
      <c r="E62" s="284"/>
      <c r="F62" s="284"/>
      <c r="G62" s="284"/>
      <c r="H62" s="284"/>
      <c r="I62" s="284"/>
      <c r="J62" s="284"/>
    </row>
    <row r="63" spans="1:10" x14ac:dyDescent="0.3">
      <c r="A63" s="224" t="s">
        <v>182</v>
      </c>
      <c r="B63" s="194" t="s">
        <v>1</v>
      </c>
      <c r="C63" s="193" t="s">
        <v>131</v>
      </c>
      <c r="D63" s="193" t="s">
        <v>6</v>
      </c>
      <c r="E63" s="193" t="s">
        <v>5</v>
      </c>
      <c r="F63" s="193" t="s">
        <v>3</v>
      </c>
      <c r="G63" s="193" t="s">
        <v>2</v>
      </c>
      <c r="H63" s="193" t="s">
        <v>4</v>
      </c>
      <c r="I63" s="195" t="s">
        <v>185</v>
      </c>
      <c r="J63" s="193" t="s">
        <v>7</v>
      </c>
    </row>
    <row r="64" spans="1:10" x14ac:dyDescent="0.3">
      <c r="A64" s="224">
        <v>1</v>
      </c>
      <c r="B64" s="194" t="s">
        <v>12</v>
      </c>
      <c r="C64" s="200">
        <v>1000</v>
      </c>
      <c r="D64" s="201">
        <v>5.0000000000000001E-3</v>
      </c>
      <c r="E64" s="212">
        <v>0.05</v>
      </c>
      <c r="F64" s="201">
        <v>0.04</v>
      </c>
      <c r="G64" s="200">
        <v>40</v>
      </c>
      <c r="H64" s="201">
        <v>0</v>
      </c>
      <c r="I64" s="195">
        <v>0</v>
      </c>
      <c r="J64" s="203">
        <v>40</v>
      </c>
    </row>
    <row r="65" spans="1:10" x14ac:dyDescent="0.3">
      <c r="A65" s="224">
        <v>2</v>
      </c>
      <c r="B65" s="194" t="s">
        <v>19</v>
      </c>
      <c r="C65" s="200">
        <v>1000</v>
      </c>
      <c r="D65" s="201">
        <v>5.0000000000000001E-3</v>
      </c>
      <c r="E65" s="212">
        <v>0.05</v>
      </c>
      <c r="F65" s="201">
        <v>0.04</v>
      </c>
      <c r="G65" s="200">
        <v>40</v>
      </c>
      <c r="H65" s="201">
        <v>0</v>
      </c>
      <c r="I65" s="195">
        <v>0</v>
      </c>
      <c r="J65" s="203">
        <v>40</v>
      </c>
    </row>
    <row r="66" spans="1:10" x14ac:dyDescent="0.3">
      <c r="A66" s="224">
        <v>3</v>
      </c>
      <c r="B66" s="194" t="s">
        <v>15</v>
      </c>
      <c r="C66" s="200">
        <v>1000</v>
      </c>
      <c r="D66" s="201">
        <v>5.0000000000000001E-3</v>
      </c>
      <c r="E66" s="212">
        <v>0.05</v>
      </c>
      <c r="F66" s="201">
        <v>0.04</v>
      </c>
      <c r="G66" s="200">
        <v>40</v>
      </c>
      <c r="H66" s="201">
        <v>0</v>
      </c>
      <c r="I66" s="195">
        <v>0</v>
      </c>
      <c r="J66" s="203">
        <v>40</v>
      </c>
    </row>
    <row r="67" spans="1:10" x14ac:dyDescent="0.3">
      <c r="A67" s="224">
        <v>4</v>
      </c>
      <c r="B67" s="194" t="s">
        <v>11</v>
      </c>
      <c r="C67" s="200">
        <v>1000</v>
      </c>
      <c r="D67" s="201">
        <v>5.0000000000000001E-3</v>
      </c>
      <c r="E67" s="212">
        <v>0.05</v>
      </c>
      <c r="F67" s="201">
        <v>0.04</v>
      </c>
      <c r="G67" s="200">
        <v>40</v>
      </c>
      <c r="H67" s="201">
        <v>0</v>
      </c>
      <c r="I67" s="195">
        <v>0</v>
      </c>
      <c r="J67" s="203">
        <v>40</v>
      </c>
    </row>
    <row r="68" spans="1:10" x14ac:dyDescent="0.3">
      <c r="A68" s="224">
        <v>5</v>
      </c>
      <c r="B68" s="194" t="s">
        <v>13</v>
      </c>
      <c r="C68" s="200">
        <v>1000</v>
      </c>
      <c r="D68" s="201">
        <v>5.0000000000000001E-3</v>
      </c>
      <c r="E68" s="212">
        <v>0.05</v>
      </c>
      <c r="F68" s="201">
        <v>0.04</v>
      </c>
      <c r="G68" s="200">
        <v>40</v>
      </c>
      <c r="H68" s="201">
        <v>0</v>
      </c>
      <c r="I68" s="195">
        <v>0</v>
      </c>
      <c r="J68" s="203">
        <v>40</v>
      </c>
    </row>
    <row r="69" spans="1:10" x14ac:dyDescent="0.3">
      <c r="A69" s="224">
        <v>6</v>
      </c>
      <c r="B69" s="194" t="s">
        <v>188</v>
      </c>
      <c r="C69" s="200">
        <v>1000</v>
      </c>
      <c r="D69" s="201">
        <v>5.0000000000000001E-3</v>
      </c>
      <c r="E69" s="212">
        <v>0.05</v>
      </c>
      <c r="F69" s="201">
        <v>0.04</v>
      </c>
      <c r="G69" s="200">
        <v>40</v>
      </c>
      <c r="H69" s="201">
        <v>0</v>
      </c>
      <c r="I69" s="195">
        <v>0</v>
      </c>
      <c r="J69" s="203">
        <v>40</v>
      </c>
    </row>
    <row r="70" spans="1:10" x14ac:dyDescent="0.3">
      <c r="A70" s="224">
        <v>7</v>
      </c>
      <c r="B70" s="194" t="s">
        <v>14</v>
      </c>
      <c r="C70" s="200">
        <v>1000</v>
      </c>
      <c r="D70" s="201">
        <v>5.0000000000000001E-3</v>
      </c>
      <c r="E70" s="212">
        <v>0.05</v>
      </c>
      <c r="F70" s="201">
        <v>0.04</v>
      </c>
      <c r="G70" s="200">
        <v>40</v>
      </c>
      <c r="H70" s="201">
        <v>0</v>
      </c>
      <c r="I70" s="195">
        <v>0</v>
      </c>
      <c r="J70" s="203">
        <v>40</v>
      </c>
    </row>
    <row r="71" spans="1:10" x14ac:dyDescent="0.3">
      <c r="A71" s="224">
        <v>8</v>
      </c>
      <c r="B71" s="194" t="s">
        <v>32</v>
      </c>
      <c r="C71" s="200">
        <v>1000</v>
      </c>
      <c r="D71" s="201">
        <v>5.0000000000000001E-3</v>
      </c>
      <c r="E71" s="212">
        <v>0.05</v>
      </c>
      <c r="F71" s="201">
        <v>0</v>
      </c>
      <c r="G71" s="200">
        <v>0</v>
      </c>
      <c r="H71" s="201">
        <v>-5.0000000000000001E-3</v>
      </c>
      <c r="I71" s="195">
        <v>-5</v>
      </c>
      <c r="J71" s="214">
        <v>-5</v>
      </c>
    </row>
    <row r="72" spans="1:10" x14ac:dyDescent="0.3">
      <c r="A72" s="224">
        <v>9</v>
      </c>
      <c r="B72" s="194" t="s">
        <v>25</v>
      </c>
      <c r="C72" s="200">
        <v>1000</v>
      </c>
      <c r="D72" s="201">
        <v>5.0000000000000001E-3</v>
      </c>
      <c r="E72" s="212">
        <v>0.05</v>
      </c>
      <c r="F72" s="201">
        <v>0</v>
      </c>
      <c r="G72" s="200">
        <v>0</v>
      </c>
      <c r="H72" s="201">
        <v>-5.0000000000000001E-3</v>
      </c>
      <c r="I72" s="195">
        <v>-5</v>
      </c>
      <c r="J72" s="214">
        <v>-5</v>
      </c>
    </row>
    <row r="73" spans="1:10" x14ac:dyDescent="0.3">
      <c r="A73" s="224">
        <v>10</v>
      </c>
      <c r="B73" s="194" t="s">
        <v>52</v>
      </c>
      <c r="C73" s="200">
        <v>1000</v>
      </c>
      <c r="D73" s="201">
        <v>5.0000000000000001E-3</v>
      </c>
      <c r="E73" s="212">
        <v>0.05</v>
      </c>
      <c r="F73" s="201">
        <v>0</v>
      </c>
      <c r="G73" s="200">
        <v>0</v>
      </c>
      <c r="H73" s="201">
        <v>-5.0000000000000001E-3</v>
      </c>
      <c r="I73" s="195">
        <v>-5</v>
      </c>
      <c r="J73" s="214">
        <v>-5</v>
      </c>
    </row>
    <row r="74" spans="1:10" x14ac:dyDescent="0.3">
      <c r="A74" s="224">
        <v>11</v>
      </c>
      <c r="B74" s="194" t="s">
        <v>69</v>
      </c>
      <c r="C74" s="200">
        <v>1000</v>
      </c>
      <c r="D74" s="201">
        <v>5.0000000000000001E-3</v>
      </c>
      <c r="E74" s="212">
        <v>0.05</v>
      </c>
      <c r="F74" s="201">
        <v>0</v>
      </c>
      <c r="G74" s="200">
        <v>0</v>
      </c>
      <c r="H74" s="201">
        <v>-5.0000000000000001E-3</v>
      </c>
      <c r="I74" s="195">
        <v>-5</v>
      </c>
      <c r="J74" s="214">
        <v>-5</v>
      </c>
    </row>
    <row r="75" spans="1:10" x14ac:dyDescent="0.3">
      <c r="A75" s="224">
        <v>12</v>
      </c>
      <c r="B75" s="194" t="s">
        <v>22</v>
      </c>
      <c r="C75" s="200">
        <v>1000</v>
      </c>
      <c r="D75" s="201">
        <v>5.0000000000000001E-3</v>
      </c>
      <c r="E75" s="212">
        <v>0.05</v>
      </c>
      <c r="F75" s="201">
        <v>0</v>
      </c>
      <c r="G75" s="200">
        <v>0</v>
      </c>
      <c r="H75" s="201">
        <v>-5.0000000000000001E-3</v>
      </c>
      <c r="I75" s="195">
        <v>-5</v>
      </c>
      <c r="J75" s="214">
        <v>-5</v>
      </c>
    </row>
    <row r="76" spans="1:10" x14ac:dyDescent="0.3">
      <c r="A76" s="224">
        <v>13</v>
      </c>
      <c r="B76" s="194" t="s">
        <v>19</v>
      </c>
      <c r="C76" s="200">
        <v>1000</v>
      </c>
      <c r="D76" s="201">
        <v>5.0000000000000001E-3</v>
      </c>
      <c r="E76" s="212">
        <v>0.05</v>
      </c>
      <c r="F76" s="201">
        <v>0</v>
      </c>
      <c r="G76" s="200">
        <v>0</v>
      </c>
      <c r="H76" s="201">
        <v>-5.0000000000000001E-3</v>
      </c>
      <c r="I76" s="195">
        <v>-5</v>
      </c>
      <c r="J76" s="214">
        <v>-5</v>
      </c>
    </row>
    <row r="77" spans="1:10" x14ac:dyDescent="0.3">
      <c r="A77" s="223" t="s">
        <v>184</v>
      </c>
      <c r="C77" s="188">
        <f>SUM(C64:C76)</f>
        <v>13000</v>
      </c>
      <c r="F77" s="191">
        <f>SUM(F64:F76)</f>
        <v>0.28000000000000003</v>
      </c>
      <c r="G77" s="188">
        <f>SUM(G64:G76)</f>
        <v>280</v>
      </c>
      <c r="H77" s="191">
        <f>SUM(H64:H76)</f>
        <v>-3.0000000000000002E-2</v>
      </c>
      <c r="I77" s="207">
        <f>SUM(I64:I76)</f>
        <v>-30</v>
      </c>
      <c r="J77" s="196">
        <f>SUM(J64:J76)</f>
        <v>250</v>
      </c>
    </row>
    <row r="78" spans="1:10" x14ac:dyDescent="0.3">
      <c r="A78" s="223" t="s">
        <v>190</v>
      </c>
      <c r="C78" s="188">
        <f>AVERAGE(C64:C76)</f>
        <v>1000</v>
      </c>
      <c r="D78" s="205">
        <f t="shared" ref="D78:J78" si="5">AVERAGE(D64:D76)</f>
        <v>4.9999999999999992E-3</v>
      </c>
      <c r="E78" s="205">
        <f t="shared" si="5"/>
        <v>0.05</v>
      </c>
      <c r="F78" s="205">
        <f t="shared" si="5"/>
        <v>2.1538461538461541E-2</v>
      </c>
      <c r="G78" s="204">
        <f t="shared" si="5"/>
        <v>21.53846153846154</v>
      </c>
      <c r="H78" s="205">
        <f t="shared" si="5"/>
        <v>-2.3076923076923079E-3</v>
      </c>
      <c r="I78" s="188">
        <f t="shared" si="5"/>
        <v>-2.3076923076923075</v>
      </c>
      <c r="J78" s="188">
        <f t="shared" si="5"/>
        <v>19.23076923076923</v>
      </c>
    </row>
    <row r="79" spans="1:10" x14ac:dyDescent="0.3">
      <c r="A79" s="284" t="s">
        <v>41</v>
      </c>
      <c r="B79" s="284"/>
      <c r="C79" s="284"/>
      <c r="D79" s="284"/>
      <c r="E79" s="284"/>
      <c r="F79" s="284"/>
      <c r="G79" s="284"/>
      <c r="H79" s="284"/>
      <c r="I79" s="284"/>
      <c r="J79" s="284"/>
    </row>
    <row r="80" spans="1:10" x14ac:dyDescent="0.3">
      <c r="A80" s="224" t="s">
        <v>182</v>
      </c>
      <c r="B80" s="194" t="s">
        <v>1</v>
      </c>
      <c r="C80" s="193" t="s">
        <v>131</v>
      </c>
      <c r="D80" s="193" t="s">
        <v>6</v>
      </c>
      <c r="E80" s="193" t="s">
        <v>5</v>
      </c>
      <c r="F80" s="193" t="s">
        <v>3</v>
      </c>
      <c r="G80" s="193" t="s">
        <v>2</v>
      </c>
      <c r="H80" s="193" t="s">
        <v>4</v>
      </c>
      <c r="I80" s="195" t="s">
        <v>185</v>
      </c>
      <c r="J80" s="193" t="s">
        <v>7</v>
      </c>
    </row>
    <row r="81" spans="1:10" x14ac:dyDescent="0.3">
      <c r="A81" s="224">
        <v>1</v>
      </c>
      <c r="B81" s="194" t="s">
        <v>11</v>
      </c>
      <c r="C81" s="200">
        <v>1000</v>
      </c>
      <c r="D81" s="201">
        <v>5.0000000000000001E-3</v>
      </c>
      <c r="E81" s="202">
        <v>0.02</v>
      </c>
      <c r="F81" s="201">
        <v>0.02</v>
      </c>
      <c r="G81" s="200">
        <v>20</v>
      </c>
      <c r="H81" s="201">
        <v>0</v>
      </c>
      <c r="I81" s="195">
        <v>0</v>
      </c>
      <c r="J81" s="203">
        <v>20</v>
      </c>
    </row>
    <row r="82" spans="1:10" x14ac:dyDescent="0.3">
      <c r="A82" s="224">
        <v>2</v>
      </c>
      <c r="B82" s="194" t="s">
        <v>13</v>
      </c>
      <c r="C82" s="200">
        <v>1000</v>
      </c>
      <c r="D82" s="201">
        <v>5.0000000000000001E-3</v>
      </c>
      <c r="E82" s="202">
        <v>0.02</v>
      </c>
      <c r="F82" s="201">
        <v>0</v>
      </c>
      <c r="G82" s="200">
        <v>0</v>
      </c>
      <c r="H82" s="201">
        <v>-5.0000000000000001E-3</v>
      </c>
      <c r="I82" s="195">
        <v>-5</v>
      </c>
      <c r="J82" s="203">
        <v>-5</v>
      </c>
    </row>
    <row r="83" spans="1:10" x14ac:dyDescent="0.3">
      <c r="A83" s="224">
        <v>3</v>
      </c>
      <c r="B83" s="194" t="s">
        <v>69</v>
      </c>
      <c r="C83" s="200">
        <v>1000</v>
      </c>
      <c r="D83" s="201">
        <v>5.0000000000000001E-3</v>
      </c>
      <c r="E83" s="202">
        <v>0.02</v>
      </c>
      <c r="F83" s="201">
        <v>0</v>
      </c>
      <c r="G83" s="200">
        <v>0</v>
      </c>
      <c r="H83" s="201">
        <v>-5.0000000000000001E-3</v>
      </c>
      <c r="I83" s="195">
        <v>-5</v>
      </c>
      <c r="J83" s="203">
        <v>-5</v>
      </c>
    </row>
    <row r="84" spans="1:10" x14ac:dyDescent="0.3">
      <c r="A84" s="224">
        <v>4</v>
      </c>
      <c r="B84" s="194" t="s">
        <v>52</v>
      </c>
      <c r="C84" s="200">
        <v>1000</v>
      </c>
      <c r="D84" s="201">
        <v>5.0000000000000001E-3</v>
      </c>
      <c r="E84" s="202">
        <v>0.02</v>
      </c>
      <c r="F84" s="201">
        <v>0.02</v>
      </c>
      <c r="G84" s="200">
        <v>20</v>
      </c>
      <c r="H84" s="201">
        <v>0</v>
      </c>
      <c r="I84" s="195">
        <v>0</v>
      </c>
      <c r="J84" s="203">
        <v>20</v>
      </c>
    </row>
    <row r="85" spans="1:10" x14ac:dyDescent="0.3">
      <c r="A85" s="224">
        <v>5</v>
      </c>
      <c r="B85" s="194" t="s">
        <v>12</v>
      </c>
      <c r="C85" s="200">
        <v>1000</v>
      </c>
      <c r="D85" s="201">
        <v>5.0000000000000001E-3</v>
      </c>
      <c r="E85" s="212">
        <v>0.05</v>
      </c>
      <c r="F85" s="201">
        <v>0.05</v>
      </c>
      <c r="G85" s="200">
        <v>50</v>
      </c>
      <c r="H85" s="201">
        <v>0</v>
      </c>
      <c r="I85" s="195">
        <v>0</v>
      </c>
      <c r="J85" s="203">
        <v>50</v>
      </c>
    </row>
    <row r="86" spans="1:10" x14ac:dyDescent="0.3">
      <c r="A86" s="224">
        <v>6</v>
      </c>
      <c r="B86" s="194" t="s">
        <v>32</v>
      </c>
      <c r="C86" s="200">
        <v>1000</v>
      </c>
      <c r="D86" s="201">
        <v>5.0000000000000001E-3</v>
      </c>
      <c r="E86" s="212">
        <v>0.05</v>
      </c>
      <c r="F86" s="201">
        <v>0.05</v>
      </c>
      <c r="G86" s="200">
        <v>50</v>
      </c>
      <c r="H86" s="201">
        <v>0</v>
      </c>
      <c r="I86" s="195">
        <v>0</v>
      </c>
      <c r="J86" s="203">
        <v>50</v>
      </c>
    </row>
    <row r="87" spans="1:10" x14ac:dyDescent="0.3">
      <c r="A87" s="224">
        <v>7</v>
      </c>
      <c r="B87" s="194" t="s">
        <v>35</v>
      </c>
      <c r="C87" s="200">
        <v>1000</v>
      </c>
      <c r="D87" s="201">
        <v>5.0000000000000001E-3</v>
      </c>
      <c r="E87" s="202">
        <v>0.02</v>
      </c>
      <c r="F87" s="201">
        <v>0.02</v>
      </c>
      <c r="G87" s="200">
        <v>20</v>
      </c>
      <c r="H87" s="201">
        <v>0</v>
      </c>
      <c r="I87" s="195">
        <v>0</v>
      </c>
      <c r="J87" s="203">
        <v>20</v>
      </c>
    </row>
    <row r="88" spans="1:10" x14ac:dyDescent="0.3">
      <c r="A88" s="224">
        <v>8</v>
      </c>
      <c r="B88" s="194" t="s">
        <v>187</v>
      </c>
      <c r="C88" s="200">
        <v>1000</v>
      </c>
      <c r="D88" s="201">
        <v>5.0000000000000001E-3</v>
      </c>
      <c r="E88" s="212">
        <v>0.05</v>
      </c>
      <c r="F88" s="201">
        <v>0.05</v>
      </c>
      <c r="G88" s="200">
        <v>50</v>
      </c>
      <c r="H88" s="201">
        <v>0</v>
      </c>
      <c r="I88" s="195">
        <v>0</v>
      </c>
      <c r="J88" s="203">
        <v>50</v>
      </c>
    </row>
    <row r="89" spans="1:10" x14ac:dyDescent="0.3">
      <c r="A89" s="224">
        <v>9</v>
      </c>
      <c r="B89" s="194" t="s">
        <v>25</v>
      </c>
      <c r="C89" s="200">
        <v>1000</v>
      </c>
      <c r="D89" s="201">
        <v>5.0000000000000001E-3</v>
      </c>
      <c r="E89" s="212">
        <v>0.05</v>
      </c>
      <c r="F89" s="201">
        <v>0.05</v>
      </c>
      <c r="G89" s="200">
        <v>50</v>
      </c>
      <c r="H89" s="201">
        <v>0</v>
      </c>
      <c r="I89" s="195">
        <v>0</v>
      </c>
      <c r="J89" s="203">
        <v>50</v>
      </c>
    </row>
    <row r="90" spans="1:10" x14ac:dyDescent="0.3">
      <c r="A90" s="224">
        <v>10</v>
      </c>
      <c r="B90" s="194" t="s">
        <v>16</v>
      </c>
      <c r="C90" s="200">
        <v>1000</v>
      </c>
      <c r="D90" s="201">
        <v>5.0000000000000001E-3</v>
      </c>
      <c r="E90" s="202">
        <v>0.02</v>
      </c>
      <c r="F90" s="201">
        <v>0.02</v>
      </c>
      <c r="G90" s="200">
        <v>20</v>
      </c>
      <c r="H90" s="201">
        <v>0</v>
      </c>
      <c r="I90" s="195">
        <v>0</v>
      </c>
      <c r="J90" s="203">
        <v>20</v>
      </c>
    </row>
    <row r="91" spans="1:10" x14ac:dyDescent="0.3">
      <c r="A91" s="224">
        <v>11</v>
      </c>
      <c r="B91" s="194" t="s">
        <v>14</v>
      </c>
      <c r="C91" s="200">
        <v>1000</v>
      </c>
      <c r="D91" s="201">
        <v>5.0000000000000001E-3</v>
      </c>
      <c r="E91" s="212">
        <v>0.05</v>
      </c>
      <c r="F91" s="201">
        <v>0.05</v>
      </c>
      <c r="G91" s="200">
        <v>50</v>
      </c>
      <c r="H91" s="201">
        <v>0</v>
      </c>
      <c r="I91" s="195">
        <v>0</v>
      </c>
      <c r="J91" s="203">
        <v>50</v>
      </c>
    </row>
    <row r="92" spans="1:10" x14ac:dyDescent="0.3">
      <c r="A92" s="224">
        <v>12</v>
      </c>
      <c r="B92" s="194" t="s">
        <v>15</v>
      </c>
      <c r="C92" s="200">
        <v>1000</v>
      </c>
      <c r="D92" s="201">
        <v>5.0000000000000001E-3</v>
      </c>
      <c r="E92" s="212">
        <v>0.05</v>
      </c>
      <c r="F92" s="201">
        <v>0.05</v>
      </c>
      <c r="G92" s="200">
        <v>50</v>
      </c>
      <c r="H92" s="201">
        <v>0</v>
      </c>
      <c r="I92" s="195">
        <v>0</v>
      </c>
      <c r="J92" s="203">
        <v>50</v>
      </c>
    </row>
    <row r="93" spans="1:10" x14ac:dyDescent="0.3">
      <c r="A93" s="224">
        <v>13</v>
      </c>
      <c r="B93" s="194" t="s">
        <v>188</v>
      </c>
      <c r="C93" s="200">
        <v>1000</v>
      </c>
      <c r="D93" s="201">
        <v>5.0000000000000001E-3</v>
      </c>
      <c r="E93" s="212">
        <v>0.05</v>
      </c>
      <c r="F93" s="201">
        <v>0.05</v>
      </c>
      <c r="G93" s="200">
        <v>50</v>
      </c>
      <c r="H93" s="201">
        <v>0</v>
      </c>
      <c r="I93" s="195">
        <v>0</v>
      </c>
      <c r="J93" s="203">
        <v>50</v>
      </c>
    </row>
    <row r="94" spans="1:10" x14ac:dyDescent="0.3">
      <c r="A94" s="224">
        <v>14</v>
      </c>
      <c r="B94" s="194" t="s">
        <v>186</v>
      </c>
      <c r="C94" s="200">
        <v>1000</v>
      </c>
      <c r="D94" s="201">
        <v>5.0000000000000001E-3</v>
      </c>
      <c r="E94" s="212">
        <v>0.05</v>
      </c>
      <c r="F94" s="201">
        <v>0.05</v>
      </c>
      <c r="G94" s="200">
        <v>50</v>
      </c>
      <c r="H94" s="201">
        <v>0</v>
      </c>
      <c r="I94" s="195">
        <v>0</v>
      </c>
      <c r="J94" s="203">
        <v>50</v>
      </c>
    </row>
    <row r="95" spans="1:10" x14ac:dyDescent="0.3">
      <c r="A95" s="224">
        <v>15</v>
      </c>
      <c r="B95" s="194" t="s">
        <v>69</v>
      </c>
      <c r="C95" s="200">
        <v>1000</v>
      </c>
      <c r="D95" s="201">
        <v>5.0000000000000001E-3</v>
      </c>
      <c r="E95" s="212">
        <v>0.05</v>
      </c>
      <c r="F95" s="201">
        <v>0.05</v>
      </c>
      <c r="G95" s="200">
        <v>50</v>
      </c>
      <c r="H95" s="201">
        <v>0</v>
      </c>
      <c r="I95" s="195">
        <v>0</v>
      </c>
      <c r="J95" s="203">
        <v>50</v>
      </c>
    </row>
    <row r="96" spans="1:10" x14ac:dyDescent="0.3">
      <c r="A96" s="224">
        <v>16</v>
      </c>
      <c r="B96" s="194" t="s">
        <v>19</v>
      </c>
      <c r="C96" s="200">
        <v>1000</v>
      </c>
      <c r="D96" s="201">
        <v>5.0000000000000001E-3</v>
      </c>
      <c r="E96" s="212">
        <v>0.05</v>
      </c>
      <c r="F96" s="201">
        <v>0</v>
      </c>
      <c r="G96" s="200">
        <v>0</v>
      </c>
      <c r="H96" s="201">
        <v>-5.0000000000000001E-3</v>
      </c>
      <c r="I96" s="215">
        <v>-5</v>
      </c>
      <c r="J96" s="203">
        <v>-5</v>
      </c>
    </row>
    <row r="97" spans="1:10" x14ac:dyDescent="0.3">
      <c r="A97" s="224" t="s">
        <v>184</v>
      </c>
      <c r="B97" s="194"/>
      <c r="C97" s="200">
        <f>SUM(C81:C96)</f>
        <v>16000</v>
      </c>
      <c r="D97" s="201"/>
      <c r="E97" s="202"/>
      <c r="F97" s="201">
        <f>SUM(F81:F96)</f>
        <v>0.53</v>
      </c>
      <c r="G97" s="200">
        <f>SUM(G81:G96)</f>
        <v>530</v>
      </c>
      <c r="H97" s="201">
        <f>SUM(H81:H96)</f>
        <v>-1.4999999999999999E-2</v>
      </c>
      <c r="I97" s="203">
        <f>SUM(I81:I96)</f>
        <v>-15</v>
      </c>
      <c r="J97" s="203">
        <f>SUM(J81:J96)</f>
        <v>515</v>
      </c>
    </row>
    <row r="98" spans="1:10" x14ac:dyDescent="0.3">
      <c r="A98" s="223" t="s">
        <v>190</v>
      </c>
      <c r="C98" s="188">
        <f>AVERAGE(C81:C96)</f>
        <v>1000</v>
      </c>
      <c r="D98" s="205">
        <f t="shared" ref="D98:J98" si="6">AVERAGE(D81:D96)</f>
        <v>5.0000000000000001E-3</v>
      </c>
      <c r="E98" s="205">
        <f t="shared" si="6"/>
        <v>3.8750000000000007E-2</v>
      </c>
      <c r="F98" s="205">
        <f>AVERAGE(F81:F96)</f>
        <v>3.3125000000000002E-2</v>
      </c>
      <c r="G98" s="204">
        <f t="shared" si="6"/>
        <v>33.125</v>
      </c>
      <c r="H98" s="206">
        <f>AVERAGE(H81:H96)</f>
        <v>-9.3749999999999997E-4</v>
      </c>
      <c r="I98" s="207">
        <f>AVERAGE(I81:I96)</f>
        <v>-0.9375</v>
      </c>
      <c r="J98" s="188">
        <f t="shared" si="6"/>
        <v>32.1875</v>
      </c>
    </row>
    <row r="99" spans="1:10" x14ac:dyDescent="0.3">
      <c r="C99" s="188"/>
      <c r="D99" s="205"/>
      <c r="E99" s="205"/>
      <c r="F99" s="205"/>
      <c r="G99" s="188"/>
      <c r="H99" s="206"/>
      <c r="I99" s="199"/>
      <c r="J99" s="188"/>
    </row>
    <row r="100" spans="1:10" x14ac:dyDescent="0.3">
      <c r="C100" s="188"/>
      <c r="D100" s="205"/>
      <c r="E100" s="205"/>
      <c r="F100" s="205"/>
      <c r="G100" s="188"/>
      <c r="H100" s="206"/>
      <c r="I100" s="199"/>
      <c r="J100" s="188"/>
    </row>
    <row r="101" spans="1:10" x14ac:dyDescent="0.3">
      <c r="A101" s="284" t="s">
        <v>42</v>
      </c>
      <c r="B101" s="284"/>
      <c r="C101" s="284"/>
      <c r="D101" s="284"/>
      <c r="E101" s="284"/>
      <c r="F101" s="284"/>
      <c r="G101" s="284"/>
      <c r="H101" s="284"/>
      <c r="I101" s="284"/>
      <c r="J101" s="284"/>
    </row>
    <row r="102" spans="1:10" x14ac:dyDescent="0.3">
      <c r="A102" s="224" t="s">
        <v>182</v>
      </c>
      <c r="B102" s="194" t="s">
        <v>1</v>
      </c>
      <c r="C102" s="193" t="s">
        <v>131</v>
      </c>
      <c r="D102" s="193" t="s">
        <v>6</v>
      </c>
      <c r="E102" s="193" t="s">
        <v>5</v>
      </c>
      <c r="F102" s="193" t="s">
        <v>3</v>
      </c>
      <c r="G102" s="193" t="s">
        <v>2</v>
      </c>
      <c r="H102" s="193" t="s">
        <v>4</v>
      </c>
      <c r="I102" s="195" t="s">
        <v>185</v>
      </c>
      <c r="J102" s="193" t="s">
        <v>7</v>
      </c>
    </row>
    <row r="103" spans="1:10" x14ac:dyDescent="0.3">
      <c r="A103" s="224">
        <v>1</v>
      </c>
      <c r="B103" s="194" t="s">
        <v>16</v>
      </c>
      <c r="C103" s="200">
        <v>1000</v>
      </c>
      <c r="D103" s="201">
        <v>5.0000000000000001E-3</v>
      </c>
      <c r="E103" s="212">
        <v>0.05</v>
      </c>
      <c r="F103" s="201">
        <v>0.05</v>
      </c>
      <c r="G103" s="200">
        <v>50</v>
      </c>
      <c r="H103" s="201">
        <v>0</v>
      </c>
      <c r="I103" s="195">
        <v>0</v>
      </c>
      <c r="J103" s="203">
        <v>50</v>
      </c>
    </row>
    <row r="104" spans="1:10" x14ac:dyDescent="0.3">
      <c r="A104" s="224">
        <v>2</v>
      </c>
      <c r="B104" s="194" t="s">
        <v>32</v>
      </c>
      <c r="C104" s="200">
        <v>1000</v>
      </c>
      <c r="D104" s="201">
        <v>5.0000000000000001E-3</v>
      </c>
      <c r="E104" s="212">
        <v>0.05</v>
      </c>
      <c r="F104" s="201">
        <v>0.05</v>
      </c>
      <c r="G104" s="200">
        <v>50</v>
      </c>
      <c r="H104" s="201">
        <v>0</v>
      </c>
      <c r="I104" s="195">
        <v>0</v>
      </c>
      <c r="J104" s="203">
        <v>50</v>
      </c>
    </row>
    <row r="105" spans="1:10" x14ac:dyDescent="0.3">
      <c r="A105" s="224">
        <v>3</v>
      </c>
      <c r="B105" s="194" t="s">
        <v>69</v>
      </c>
      <c r="C105" s="200">
        <v>1000</v>
      </c>
      <c r="D105" s="201">
        <v>5.0000000000000001E-3</v>
      </c>
      <c r="E105" s="212">
        <v>0.05</v>
      </c>
      <c r="F105" s="201">
        <v>0.05</v>
      </c>
      <c r="G105" s="200">
        <v>50</v>
      </c>
      <c r="H105" s="201">
        <v>0</v>
      </c>
      <c r="I105" s="195">
        <v>0</v>
      </c>
      <c r="J105" s="203">
        <v>50</v>
      </c>
    </row>
    <row r="106" spans="1:10" x14ac:dyDescent="0.3">
      <c r="A106" s="224">
        <v>4</v>
      </c>
      <c r="B106" s="194" t="s">
        <v>16</v>
      </c>
      <c r="C106" s="200">
        <v>1000</v>
      </c>
      <c r="D106" s="201">
        <v>5.0000000000000001E-3</v>
      </c>
      <c r="E106" s="212">
        <v>0.05</v>
      </c>
      <c r="F106" s="201">
        <v>0.05</v>
      </c>
      <c r="G106" s="200">
        <v>50</v>
      </c>
      <c r="H106" s="201">
        <v>0</v>
      </c>
      <c r="I106" s="195">
        <v>0</v>
      </c>
      <c r="J106" s="203">
        <v>50</v>
      </c>
    </row>
    <row r="107" spans="1:10" x14ac:dyDescent="0.3">
      <c r="A107" s="224">
        <v>5</v>
      </c>
      <c r="B107" s="194" t="s">
        <v>32</v>
      </c>
      <c r="C107" s="200">
        <v>1000</v>
      </c>
      <c r="D107" s="201">
        <v>5.0000000000000001E-3</v>
      </c>
      <c r="E107" s="212">
        <v>0.05</v>
      </c>
      <c r="F107" s="201">
        <v>0.05</v>
      </c>
      <c r="G107" s="200">
        <v>50</v>
      </c>
      <c r="H107" s="201">
        <v>0</v>
      </c>
      <c r="I107" s="195">
        <v>0</v>
      </c>
      <c r="J107" s="203">
        <v>50</v>
      </c>
    </row>
    <row r="108" spans="1:10" x14ac:dyDescent="0.3">
      <c r="A108" s="224">
        <v>6</v>
      </c>
      <c r="B108" s="194" t="s">
        <v>69</v>
      </c>
      <c r="C108" s="200">
        <v>1000</v>
      </c>
      <c r="D108" s="201">
        <v>5.0000000000000001E-3</v>
      </c>
      <c r="E108" s="212">
        <v>0.05</v>
      </c>
      <c r="F108" s="201">
        <v>0.05</v>
      </c>
      <c r="G108" s="200">
        <v>50</v>
      </c>
      <c r="H108" s="201">
        <v>0</v>
      </c>
      <c r="I108" s="195">
        <v>0</v>
      </c>
      <c r="J108" s="203">
        <v>50</v>
      </c>
    </row>
    <row r="109" spans="1:10" x14ac:dyDescent="0.3">
      <c r="A109" s="224">
        <v>7</v>
      </c>
      <c r="B109" s="194" t="s">
        <v>16</v>
      </c>
      <c r="C109" s="200">
        <v>1000</v>
      </c>
      <c r="D109" s="201">
        <v>5.0000000000000001E-3</v>
      </c>
      <c r="E109" s="212">
        <v>0.05</v>
      </c>
      <c r="F109" s="201">
        <v>0.05</v>
      </c>
      <c r="G109" s="200">
        <v>50</v>
      </c>
      <c r="H109" s="201">
        <v>0</v>
      </c>
      <c r="I109" s="195">
        <v>0</v>
      </c>
      <c r="J109" s="203">
        <v>50</v>
      </c>
    </row>
    <row r="110" spans="1:10" x14ac:dyDescent="0.3">
      <c r="A110" s="224">
        <v>8</v>
      </c>
      <c r="B110" s="194" t="s">
        <v>32</v>
      </c>
      <c r="C110" s="200">
        <v>1000</v>
      </c>
      <c r="D110" s="201">
        <v>5.0000000000000001E-3</v>
      </c>
      <c r="E110" s="212">
        <v>0.05</v>
      </c>
      <c r="F110" s="201">
        <v>0.05</v>
      </c>
      <c r="G110" s="200">
        <v>50</v>
      </c>
      <c r="H110" s="201">
        <v>0</v>
      </c>
      <c r="I110" s="195">
        <v>0</v>
      </c>
      <c r="J110" s="203">
        <v>50</v>
      </c>
    </row>
    <row r="111" spans="1:10" x14ac:dyDescent="0.3">
      <c r="A111" s="224">
        <v>9</v>
      </c>
      <c r="B111" s="194" t="s">
        <v>69</v>
      </c>
      <c r="C111" s="200">
        <v>1000</v>
      </c>
      <c r="D111" s="201">
        <v>5.0000000000000001E-3</v>
      </c>
      <c r="E111" s="212">
        <v>0.05</v>
      </c>
      <c r="F111" s="201">
        <v>0.05</v>
      </c>
      <c r="G111" s="200">
        <v>50</v>
      </c>
      <c r="H111" s="201">
        <v>0</v>
      </c>
      <c r="I111" s="195">
        <v>0</v>
      </c>
      <c r="J111" s="203">
        <v>50</v>
      </c>
    </row>
    <row r="112" spans="1:10" x14ac:dyDescent="0.3">
      <c r="C112" s="188">
        <f>SUM(C103:C111)</f>
        <v>9000</v>
      </c>
      <c r="F112" s="191">
        <f>SUM(F103:F111)</f>
        <v>0.44999999999999996</v>
      </c>
      <c r="G112" s="204">
        <f>SUM(G103:G111)</f>
        <v>450</v>
      </c>
      <c r="H112" s="191">
        <f>SUM(H103:H111)</f>
        <v>0</v>
      </c>
      <c r="I112" s="199">
        <f>SUM(I103:I111)</f>
        <v>0</v>
      </c>
      <c r="J112" s="196">
        <f>SUM(J103:J111)</f>
        <v>450</v>
      </c>
    </row>
  </sheetData>
  <mergeCells count="5">
    <mergeCell ref="A20:J20"/>
    <mergeCell ref="A46:L46"/>
    <mergeCell ref="A62:J62"/>
    <mergeCell ref="A79:J79"/>
    <mergeCell ref="A101:J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Week 1(03-07 Aug. 2026)</vt:lpstr>
      <vt:lpstr>Week 2(10-14 Aug. 26)</vt:lpstr>
      <vt:lpstr>Week 3 (17-21 Aug. 2026)</vt:lpstr>
      <vt:lpstr>Week 4(24-28 Aug. 2026)</vt:lpstr>
      <vt:lpstr>Week 1 31 Aug.- 4 Sept.</vt:lpstr>
      <vt:lpstr>Week 2  7-11 Sept</vt:lpstr>
      <vt:lpstr>Week 4 21-25 Sept</vt:lpstr>
      <vt:lpstr>Profitability model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</dc:creator>
  <cp:lastModifiedBy>donald</cp:lastModifiedBy>
  <dcterms:created xsi:type="dcterms:W3CDTF">2026-08-08T16:01:36Z</dcterms:created>
  <dcterms:modified xsi:type="dcterms:W3CDTF">2026-09-27T20:26:14Z</dcterms:modified>
</cp:coreProperties>
</file>